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gramming\Github\stdVBA-examples\Examples\DataSources\"/>
    </mc:Choice>
  </mc:AlternateContent>
  <xr:revisionPtr revIDLastSave="0" documentId="13_ncr:1_{0C83F018-BCD2-4423-B4D8-EADF33796A07}" xr6:coauthVersionLast="47" xr6:coauthVersionMax="47" xr10:uidLastSave="{00000000-0000-0000-0000-000000000000}"/>
  <bookViews>
    <workbookView xWindow="-120" yWindow="-120" windowWidth="29040" windowHeight="15720" xr2:uid="{F5AD6F33-BD42-498A-ABF0-27A050DB069F}"/>
  </bookViews>
  <sheets>
    <sheet name="DataSources" sheetId="1" r:id="rId1"/>
    <sheet name="Env" sheetId="3" r:id="rId2"/>
    <sheet name="TBC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</calcChain>
</file>

<file path=xl/sharedStrings.xml><?xml version="1.0" encoding="utf-8"?>
<sst xmlns="http://schemas.openxmlformats.org/spreadsheetml/2006/main" count="229" uniqueCount="107">
  <si>
    <t>Type</t>
  </si>
  <si>
    <t>OutputPath</t>
  </si>
  <si>
    <t>Name</t>
  </si>
  <si>
    <t>Tank Masterlist</t>
  </si>
  <si>
    <t>SPS Masterlist</t>
  </si>
  <si>
    <t>Syphon Masterlist</t>
  </si>
  <si>
    <t>PipeBridge Masterlist</t>
  </si>
  <si>
    <t>Overflow Register</t>
  </si>
  <si>
    <t>Sharepoint</t>
  </si>
  <si>
    <t>N/A</t>
  </si>
  <si>
    <t>OutputType</t>
  </si>
  <si>
    <t>CSV</t>
  </si>
  <si>
    <t>Group</t>
  </si>
  <si>
    <t>Assets</t>
  </si>
  <si>
    <t>XYType</t>
  </si>
  <si>
    <t>XYColumns</t>
  </si>
  <si>
    <t>Eastings</t>
  </si>
  <si>
    <t>Northings</t>
  </si>
  <si>
    <t>SPILL POINT X</t>
  </si>
  <si>
    <t>SPILL POINT Y</t>
  </si>
  <si>
    <t>Location_X</t>
  </si>
  <si>
    <t>Location_Y</t>
  </si>
  <si>
    <t>X</t>
  </si>
  <si>
    <t>Y</t>
  </si>
  <si>
    <t>X Coord</t>
  </si>
  <si>
    <t>Y Coord</t>
  </si>
  <si>
    <t>GISST Manholes</t>
  </si>
  <si>
    <t>GISST Pumps</t>
  </si>
  <si>
    <t>GISST Tanks</t>
  </si>
  <si>
    <t>GISST Overflows</t>
  </si>
  <si>
    <t>GISSTdb</t>
  </si>
  <si>
    <t>GISST PressureSewers</t>
  </si>
  <si>
    <t>AddressBasePremium</t>
  </si>
  <si>
    <t>PIRS-Main</t>
  </si>
  <si>
    <t>Alias</t>
  </si>
  <si>
    <t>PIRS Wholesale Ops</t>
  </si>
  <si>
    <t>Asset Failure Point Easting</t>
  </si>
  <si>
    <t>Asset Failure Point Northing</t>
  </si>
  <si>
    <t>Incidents</t>
  </si>
  <si>
    <t>PIRS-InitialDetails</t>
  </si>
  <si>
    <t>Reported Incident Location :Easting</t>
  </si>
  <si>
    <t>Reported Incident Location :Northing</t>
  </si>
  <si>
    <t>PowerBI: Assurance Dashboard</t>
  </si>
  <si>
    <t>PowerBI: SPS AHD</t>
  </si>
  <si>
    <t>PowerBI: ORS</t>
  </si>
  <si>
    <t>STARK</t>
  </si>
  <si>
    <t>SAP SPS EquipmentLevel</t>
  </si>
  <si>
    <t>SAP SPS Wetwell</t>
  </si>
  <si>
    <t>???</t>
  </si>
  <si>
    <t>WKT</t>
  </si>
  <si>
    <t>XYColumn_X</t>
  </si>
  <si>
    <t>XYColumn_Y</t>
  </si>
  <si>
    <t>Frequency</t>
  </si>
  <si>
    <t>Monthly</t>
  </si>
  <si>
    <t>Out-DateExtracted</t>
  </si>
  <si>
    <t>Out-ErrorText</t>
  </si>
  <si>
    <t>Out-Step</t>
  </si>
  <si>
    <t>Complete</t>
  </si>
  <si>
    <t>Quarterly</t>
  </si>
  <si>
    <t>Shapefile</t>
  </si>
  <si>
    <t>SHP</t>
  </si>
  <si>
    <t>Demography</t>
  </si>
  <si>
    <t>Postcodes</t>
  </si>
  <si>
    <t>HFRR Incidents</t>
  </si>
  <si>
    <t>HFRR Properties</t>
  </si>
  <si>
    <t>RisingMain Bursts</t>
  </si>
  <si>
    <t>X Co-ordinate</t>
  </si>
  <si>
    <t>Y Co-ordinate</t>
  </si>
  <si>
    <t>Custom</t>
  </si>
  <si>
    <t>SiteSurveys</t>
  </si>
  <si>
    <t>InfoNet Export - CCTV Surveys</t>
  </si>
  <si>
    <t>XLAPI</t>
  </si>
  <si>
    <t>Data</t>
  </si>
  <si>
    <t>ExcelRange</t>
  </si>
  <si>
    <t>GISST GravitySewers</t>
  </si>
  <si>
    <t>{"Table":"GISSTdbR.STWGISVIEW.V_WWGRAVITYSEWER","isBigQuery":true}</t>
  </si>
  <si>
    <t>{"Table":"GISSTdbR.STWGISVIEW.V_WWMANHOLE","isBigQuery":true}</t>
  </si>
  <si>
    <t>{"Table":"GISSTdbR.STWGISVIEW.V_WWPUMP","isBigQuery":false}</t>
  </si>
  <si>
    <t>{"Table":"GISSTdbR.STWGISVIEW.V_WWCHAMBER","isBigQuery":false}</t>
  </si>
  <si>
    <t>{"Table":"GISSTdbR.STWGISVIEW.V_WWSTORAGE","isBigQuery":false}</t>
  </si>
  <si>
    <t>{"Table":"GISSTdbR.STWGISVIEW.V_WWPRESSURESEWER","isBigQuery":false}</t>
  </si>
  <si>
    <t>{"Table":"OSDATA.OSDATAVIEW.V_ABPADDRESS","isBigQuery":true}</t>
  </si>
  <si>
    <t>TBC</t>
  </si>
  <si>
    <t>Data Acquisition</t>
  </si>
  <si>
    <t>Geospatial Specification</t>
  </si>
  <si>
    <t>{"File":"%sharepoint_onprem%/wholesale/PlanAndPerformance/PlanningInfra/PP_Infra_Flooding/Hydraulic%20Flooding%20Risk%20Register/LIVE%20Hydraulic%20Flood%20Risk%20Register.xlsm", "Sheet":"Datasheet", "Range":"HFRRData[#All]"}</t>
  </si>
  <si>
    <t>Key</t>
  </si>
  <si>
    <t>Value</t>
  </si>
  <si>
    <t>User</t>
  </si>
  <si>
    <t>C:\Users\Sancarn</t>
  </si>
  <si>
    <t>{"File":"%User%\TAP Data Management\GIS Info\6. Demography\PostCode_Polygons.shp"}</t>
  </si>
  <si>
    <t>{"File":"%sharepoint_online%/sites/Asset/Planning/Waste/Network/Tactical/pipebridges/Pipe%20Bridge%20Tracker/Pipe%20Bridge%20Master%20List.xlsm", "Sheet":"Waste Pipe Bridge Tracker", "Range":"10:999999"}</t>
  </si>
  <si>
    <t>{"File":"%sharepoint_online%/sites/Asset/Planning/Waste/Network/Tactical/OVF/Shared%20Documents/Asset%20Data/_Tracker/Overflow%20Tracker_v2.xlsm", "Sheet":"Register", "Range":"1:999999"}</t>
  </si>
  <si>
    <t>{"Site":"%sharepoint_online%/sites/Asset/Planning/Waste/Network/Tactical/SPS/Data", "ListID":"bf27105b-ea40-42b3-a215-737616b657c0","ListIdentifier":"By ID","ListTitle":""}</t>
  </si>
  <si>
    <t>{"File":"%sharepoint_online%/sites/Asset/Planning/Waste/Network/Tactical/tanks/Shared%20Documents/Tank%20Masterlist%20v2.xlsb", "Sheet":"Tank Masterlist", "Range":"2:999999"}</t>
  </si>
  <si>
    <t>{"File":"%sharepoint_online%/sites/Asset/Planning/Waste/Network/Tactical/siphons/General%20Siphon%20Documents/Syphon%20Tracker%20v2.3.xlsx", "Sheet":"Syphon Master List", "Range":"7:999999"}</t>
  </si>
  <si>
    <t>{"Site":"%sharepoint_online%/sites/PIRS_Live", "ListID":"d1a1216d-b4cd-435b-be06-23a9eaad2651","ListIdentifier":"By ID","ListTitle":""}</t>
  </si>
  <si>
    <t>{"Site":"%sharepoint_online%/sites/PIRS_Live", "ListID":"152651f3-d09c-4108-9d5b-056deb0db162","ListIdentifier":"By ID","ListTitle":""}</t>
  </si>
  <si>
    <t>{"Site":"%sharepoint_online%/sites/Asset/Planning/Waste/Network/NOS", "ListID":"5D8476C2-39C1-4E86-A245-94FD58DEAB36","ListIdentifier":"By ID","ListTitle":""}</t>
  </si>
  <si>
    <t>{"Site":"%sharepoint_online%/sites/WasteWaterModelling", "ListID":"e4d6c480-3ebe-4721-b625-0b34ca57ce6d","ListIdentifier":"By ID","ListTitle":""}</t>
  </si>
  <si>
    <t>sharepoint_online</t>
  </si>
  <si>
    <t>https://company.sharepoint.com</t>
  </si>
  <si>
    <t>sharepoint_onprem</t>
  </si>
  <si>
    <t>http://sharepointRoot</t>
  </si>
  <si>
    <t>{
  workbook: {
    path: "%sharepoint_onprem%/wholesale/PlanAndPerformance/PlanningInfra/PP_Infra_Flooding/Hydraulic%20Flooding%20Risk%20Register/LIVE%20Hydraulic%20Flood%20Risk%20Register.xlsm",
    name: "LIVE Hydraulic Flood Risk Register.xlsm"
  },
  macro: {
    type: "OOP-API",
    oopAccessor: {
      name: "RAPI.getAPI",
    },
    name: "Report_AllIncidents_Workbook",
    output: {
      type: "Workbook",
      data: {
        sheet: 1,
        range: "AllIncidents[#All]"
      }
    }
  }
}</t>
  </si>
  <si>
    <t>OutputRoot</t>
  </si>
  <si>
    <t>H:\Users\Sancarn\SourcesOutput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</si>
</sst>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14" fontId="0" fillId="0" borderId="0" xfId="0" applyNumberFormat="1"/>
    <xf numFmtId="0" fontId="4" fillId="2" borderId="0" xfId="0" applyFont="1" applyFill="1"/>
    <xf numFmtId="0" fontId="0" fillId="3" borderId="0" xfId="0" applyFill="1"/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0" borderId="0" xfId="0" applyAlignmen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414617</xdr:colOff>
      <xdr:row>1</xdr:row>
      <xdr:rowOff>100853</xdr:rowOff>
    </xdr:from>
    <xdr:to>
      <xdr:col>16</xdr:col>
      <xdr:colOff>560294</xdr:colOff>
      <xdr:row>5</xdr:row>
      <xdr:rowOff>78441</xdr:rowOff>
    </xdr:to>
    <xdr:sp macro="[0]!DataSources_Refresh" textlink="">
      <xdr:nvSpPr>
        <xdr:cNvPr id="2" name="Rectangle 1">
          <a:extLst>
            <a:ext uri="{FF2B5EF4-FFF2-40B4-BE49-F238E27FC236}">
              <a16:creationId xmlns:a16="http://schemas.microsoft.com/office/drawing/2014/main" id="{CF9A116D-1C5B-7F13-CF42-80ED3BAB8DBC}"/>
            </a:ext>
          </a:extLst>
        </xdr:cNvPr>
        <xdr:cNvSpPr/>
      </xdr:nvSpPr>
      <xdr:spPr>
        <a:xfrm>
          <a:off x="24350382" y="100853"/>
          <a:ext cx="1355912" cy="73958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/>
            <a:t>Refresh Datasets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85724</xdr:colOff>
      <xdr:row>4</xdr:row>
      <xdr:rowOff>28575</xdr:rowOff>
    </xdr:from>
    <xdr:to>
      <xdr:col>28</xdr:col>
      <xdr:colOff>523875</xdr:colOff>
      <xdr:row>12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039DEE-4FB6-BCEB-C1EB-7675DCEBD999}"/>
            </a:ext>
          </a:extLst>
        </xdr:cNvPr>
        <xdr:cNvSpPr txBox="1"/>
      </xdr:nvSpPr>
      <xdr:spPr>
        <a:xfrm>
          <a:off x="4962524" y="790575"/>
          <a:ext cx="12630151" cy="1552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DECLARE @columns NVARCHAR(MAX) </a:t>
          </a:r>
        </a:p>
        <a:p>
          <a:endParaRPr lang="en-GB" sz="1200" b="0" i="0" u="none" strike="noStrike" baseline="0">
            <a:solidFill>
              <a:srgbClr val="000000"/>
            </a:solidFill>
            <a:latin typeface="Consolas"/>
          </a:endParaRPr>
        </a:p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-- Generate the column list excluding the SHAPE column </a:t>
          </a:r>
        </a:p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SELECT @columns = STRING_AGG(column_name, ', ') FROM INFORMATION_SCHEMA.COLUMNS WHERE table_name = 'YourTableName' AND column_name != 'SHAPE'</a:t>
          </a:r>
        </a:p>
        <a:p>
          <a:endParaRPr lang="en-GB" sz="1200" b="0" i="0" u="none" strike="noStrike" baseline="0">
            <a:solidFill>
              <a:srgbClr val="000000"/>
            </a:solidFill>
            <a:latin typeface="Consolas"/>
          </a:endParaRPr>
        </a:p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-- Construct and execute the dynamic SQL query </a:t>
          </a:r>
        </a:p>
        <a:p>
          <a:r>
            <a:rPr lang="en-GB" sz="1200" b="0" i="0" u="none" strike="noStrike" baseline="0">
              <a:solidFill>
                <a:srgbClr val="000000"/>
              </a:solidFill>
              <a:latin typeface="Consolas"/>
            </a:rPr>
            <a:t>EXEC('SELECT ' + @columns + ', SHAPE.STAsText() as ShapeWKT FROM YourTableName') </a:t>
          </a:r>
          <a:br>
            <a:rPr lang="en-GB" sz="1200" b="0" i="0" u="none" strike="noStrike" baseline="0">
              <a:solidFill>
                <a:srgbClr val="000000"/>
              </a:solidFill>
              <a:latin typeface="Consolas"/>
            </a:rPr>
          </a:br>
          <a:endParaRPr lang="en-GB" sz="12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1C472D-9463-4CFE-AC14-2B2742BF8BE5}" name="DataSources" displayName="DataSources" ref="A2:N21" totalsRowShown="0">
  <autoFilter ref="A2:N21" xr:uid="{331C472D-9463-4CFE-AC14-2B2742BF8BE5}"/>
  <tableColumns count="14">
    <tableColumn id="6" xr3:uid="{FCB23D69-B3FC-498D-89DB-ACFA7305E917}" name="Name"/>
    <tableColumn id="15" xr3:uid="{9F32A13D-58A9-495D-94E5-805F35F600C3}" name="Alias"/>
    <tableColumn id="2" xr3:uid="{D9264FEA-45C1-4E68-AEF8-FF4300F8B050}" name="Type"/>
    <tableColumn id="22" xr3:uid="{5464B608-EEE8-433E-BE29-62CE95629496}" name="Data"/>
    <tableColumn id="13" xr3:uid="{4D20A008-AEF9-4AEA-8AF3-34895E766AD8}" name="OutputType"/>
    <tableColumn id="8" xr3:uid="{C4B44711-C044-417B-A572-3756F56EBAF5}" name="Group"/>
    <tableColumn id="5" xr3:uid="{7408FDB7-57B0-410D-852C-D3DC0F8F4BF8}" name="OutputPath" dataDxfId="0">
      <calculatedColumnFormula>"%OutputRoot%\"&amp;DataSources[[#This Row],[Group]]&amp;"\"&amp;DataSources[[#This Row],[Name]]&amp;"."&amp;LOWER(DataSources[[#This Row],[OutputType]])</calculatedColumnFormula>
    </tableColumn>
    <tableColumn id="16" xr3:uid="{9428590A-5681-44B7-80DF-C3AE76320130}" name="Frequency"/>
    <tableColumn id="19" xr3:uid="{A620EB78-30FC-410B-B9E4-39C15D4737A2}" name="Out-Step"/>
    <tableColumn id="17" xr3:uid="{75D9EBAE-91DB-46D0-8922-0E96E49DB5D4}" name="Out-DateExtracted" dataDxfId="3"/>
    <tableColumn id="18" xr3:uid="{88CB2F1C-C47D-4AED-9FAB-15B6D5007C49}" name="Out-ErrorText"/>
    <tableColumn id="7" xr3:uid="{6C51D324-69ED-4E37-816E-560B788B7268}" name="XYType"/>
    <tableColumn id="11" xr3:uid="{A2E21925-FB42-4C62-BB20-2D0B9F25B9DF}" name="XYColumn_X"/>
    <tableColumn id="12" xr3:uid="{4F488610-ACF8-4852-82CA-022DD1D6B5E2}" name="XYColumn_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F300CD-CB0F-4CB6-85C1-E99DA5C2CF3D}" name="Table2" displayName="Table2" ref="A1:B5" totalsRowShown="0">
  <autoFilter ref="A1:B5" xr:uid="{13F300CD-CB0F-4CB6-85C1-E99DA5C2CF3D}"/>
  <tableColumns count="2">
    <tableColumn id="1" xr3:uid="{4800A531-7845-42C0-BD99-F5838AEBB799}" name="Key"/>
    <tableColumn id="2" xr3:uid="{9D3357E1-9A2E-40FB-9EFC-A43CE44C33D2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http://sharepointroot/" TargetMode="External"/><Relationship Id="rId1" Type="http://schemas.openxmlformats.org/officeDocument/2006/relationships/hyperlink" Target="https://company.sharepoint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0CA63-796A-42C3-8A35-608AEDD1E9A1}">
  <sheetPr codeName="shDataSources"/>
  <dimension ref="A1:N21"/>
  <sheetViews>
    <sheetView tabSelected="1" zoomScale="115" zoomScaleNormal="115" workbookViewId="0">
      <selection activeCell="D14" sqref="D14"/>
    </sheetView>
  </sheetViews>
  <sheetFormatPr defaultRowHeight="15" x14ac:dyDescent="0.25"/>
  <cols>
    <col min="1" max="1" width="21.7109375" customWidth="1"/>
    <col min="2" max="2" width="7.42578125" customWidth="1"/>
    <col min="3" max="3" width="12.42578125" bestFit="1" customWidth="1"/>
    <col min="4" max="4" width="30.85546875" customWidth="1"/>
    <col min="5" max="6" width="13.5703125" customWidth="1"/>
    <col min="7" max="7" width="45.28515625" bestFit="1" customWidth="1"/>
    <col min="8" max="8" width="12.7109375" bestFit="1" customWidth="1"/>
    <col min="9" max="9" width="12.7109375" customWidth="1"/>
    <col min="10" max="10" width="20.42578125" bestFit="1" customWidth="1"/>
    <col min="11" max="11" width="15.7109375" bestFit="1" customWidth="1"/>
    <col min="12" max="12" width="20" customWidth="1"/>
    <col min="13" max="13" width="14.7109375" customWidth="1"/>
    <col min="14" max="14" width="15.42578125" customWidth="1"/>
    <col min="27" max="27" width="11.28515625" customWidth="1"/>
  </cols>
  <sheetData>
    <row r="1" spans="1:14" x14ac:dyDescent="0.25">
      <c r="A1" s="5" t="s">
        <v>83</v>
      </c>
      <c r="B1" s="5"/>
      <c r="C1" s="5"/>
      <c r="D1" s="5"/>
      <c r="E1" s="5"/>
      <c r="F1" s="5"/>
      <c r="G1" s="5"/>
      <c r="H1" s="5"/>
      <c r="I1" s="5"/>
      <c r="J1" s="5"/>
      <c r="K1" s="5"/>
      <c r="L1" s="6" t="s">
        <v>84</v>
      </c>
      <c r="M1" s="6"/>
      <c r="N1" s="6"/>
    </row>
    <row r="2" spans="1:14" x14ac:dyDescent="0.25">
      <c r="A2" s="3" t="s">
        <v>2</v>
      </c>
      <c r="B2" s="3" t="s">
        <v>34</v>
      </c>
      <c r="C2" s="3" t="s">
        <v>0</v>
      </c>
      <c r="D2" s="3" t="s">
        <v>72</v>
      </c>
      <c r="E2" s="3" t="s">
        <v>10</v>
      </c>
      <c r="F2" s="3" t="s">
        <v>12</v>
      </c>
      <c r="G2" s="3" t="s">
        <v>1</v>
      </c>
      <c r="H2" s="3" t="s">
        <v>52</v>
      </c>
      <c r="I2" s="3" t="s">
        <v>56</v>
      </c>
      <c r="J2" s="3" t="s">
        <v>54</v>
      </c>
      <c r="K2" s="3" t="s">
        <v>55</v>
      </c>
      <c r="L2" s="4" t="s">
        <v>14</v>
      </c>
      <c r="M2" s="4" t="s">
        <v>50</v>
      </c>
      <c r="N2" s="4" t="s">
        <v>51</v>
      </c>
    </row>
    <row r="3" spans="1:14" x14ac:dyDescent="0.25">
      <c r="A3" t="s">
        <v>6</v>
      </c>
      <c r="C3" t="s">
        <v>73</v>
      </c>
      <c r="D3" t="s">
        <v>91</v>
      </c>
      <c r="E3" t="s">
        <v>11</v>
      </c>
      <c r="F3" t="s">
        <v>13</v>
      </c>
      <c r="G3" t="str">
        <f>"%OutputRoot%\"&amp;DataSources[[#This Row],[Group]]&amp;"\"&amp;DataSources[[#This Row],[Name]]&amp;"."&amp;LOWER(DataSources[[#This Row],[OutputType]])</f>
        <v>%OutputRoot%\Assets\PipeBridge Masterlist.csv</v>
      </c>
      <c r="H3" t="s">
        <v>53</v>
      </c>
      <c r="I3" t="s">
        <v>57</v>
      </c>
      <c r="J3" s="2">
        <v>45707.650914351849</v>
      </c>
      <c r="L3" t="s">
        <v>15</v>
      </c>
      <c r="M3" t="s">
        <v>16</v>
      </c>
      <c r="N3" t="s">
        <v>17</v>
      </c>
    </row>
    <row r="4" spans="1:14" x14ac:dyDescent="0.25">
      <c r="A4" t="s">
        <v>7</v>
      </c>
      <c r="C4" t="s">
        <v>73</v>
      </c>
      <c r="D4" t="s">
        <v>92</v>
      </c>
      <c r="E4" t="s">
        <v>11</v>
      </c>
      <c r="F4" t="s">
        <v>13</v>
      </c>
      <c r="G4" t="str">
        <f>"%OutputRoot%\"&amp;DataSources[[#This Row],[Group]]&amp;"\"&amp;DataSources[[#This Row],[Name]]&amp;"."&amp;LOWER(DataSources[[#This Row],[OutputType]])</f>
        <v>%OutputRoot%\Assets\Overflow Register.csv</v>
      </c>
      <c r="H4" t="s">
        <v>53</v>
      </c>
      <c r="I4" t="s">
        <v>57</v>
      </c>
      <c r="J4" s="2">
        <v>45707.65283564815</v>
      </c>
      <c r="L4" t="s">
        <v>15</v>
      </c>
      <c r="M4" t="s">
        <v>18</v>
      </c>
      <c r="N4" t="s">
        <v>19</v>
      </c>
    </row>
    <row r="5" spans="1:14" x14ac:dyDescent="0.25">
      <c r="A5" t="s">
        <v>4</v>
      </c>
      <c r="C5" t="s">
        <v>8</v>
      </c>
      <c r="D5" t="s">
        <v>93</v>
      </c>
      <c r="E5" t="s">
        <v>11</v>
      </c>
      <c r="F5" t="s">
        <v>13</v>
      </c>
      <c r="G5" t="str">
        <f>"%OutputRoot%\"&amp;DataSources[[#This Row],[Group]]&amp;"\"&amp;DataSources[[#This Row],[Name]]&amp;"."&amp;LOWER(DataSources[[#This Row],[OutputType]])</f>
        <v>%OutputRoot%\Assets\SPS Masterlist.csv</v>
      </c>
      <c r="H5" t="s">
        <v>53</v>
      </c>
      <c r="I5" t="s">
        <v>57</v>
      </c>
      <c r="J5" s="2">
        <v>45707.659120370372</v>
      </c>
      <c r="L5" t="s">
        <v>15</v>
      </c>
      <c r="M5" t="s">
        <v>20</v>
      </c>
      <c r="N5" t="s">
        <v>21</v>
      </c>
    </row>
    <row r="6" spans="1:14" x14ac:dyDescent="0.25">
      <c r="A6" t="s">
        <v>3</v>
      </c>
      <c r="C6" t="s">
        <v>73</v>
      </c>
      <c r="D6" t="s">
        <v>94</v>
      </c>
      <c r="E6" t="s">
        <v>11</v>
      </c>
      <c r="F6" t="s">
        <v>13</v>
      </c>
      <c r="G6" t="str">
        <f>"%OutputRoot%\"&amp;DataSources[[#This Row],[Group]]&amp;"\"&amp;DataSources[[#This Row],[Name]]&amp;"."&amp;LOWER(DataSources[[#This Row],[OutputType]])</f>
        <v>%OutputRoot%\Assets\Tank Masterlist.csv</v>
      </c>
      <c r="H6" t="s">
        <v>53</v>
      </c>
      <c r="I6" t="s">
        <v>57</v>
      </c>
      <c r="J6" s="2">
        <v>45707.653090277781</v>
      </c>
      <c r="L6" t="s">
        <v>15</v>
      </c>
      <c r="M6" t="s">
        <v>22</v>
      </c>
      <c r="N6" t="s">
        <v>23</v>
      </c>
    </row>
    <row r="7" spans="1:14" x14ac:dyDescent="0.25">
      <c r="A7" t="s">
        <v>5</v>
      </c>
      <c r="C7" t="s">
        <v>73</v>
      </c>
      <c r="D7" t="s">
        <v>95</v>
      </c>
      <c r="E7" t="s">
        <v>11</v>
      </c>
      <c r="F7" t="s">
        <v>13</v>
      </c>
      <c r="G7" t="str">
        <f>"%OutputRoot%\"&amp;DataSources[[#This Row],[Group]]&amp;"\"&amp;DataSources[[#This Row],[Name]]&amp;"."&amp;LOWER(DataSources[[#This Row],[OutputType]])</f>
        <v>%OutputRoot%\Assets\Syphon Masterlist.csv</v>
      </c>
      <c r="H7" t="s">
        <v>53</v>
      </c>
      <c r="I7" t="s">
        <v>57</v>
      </c>
      <c r="J7" s="2">
        <v>45707.653090277781</v>
      </c>
      <c r="L7" t="s">
        <v>15</v>
      </c>
      <c r="M7" t="s">
        <v>24</v>
      </c>
      <c r="N7" t="s">
        <v>25</v>
      </c>
    </row>
    <row r="8" spans="1:14" x14ac:dyDescent="0.25">
      <c r="A8" t="s">
        <v>74</v>
      </c>
      <c r="C8" t="s">
        <v>30</v>
      </c>
      <c r="D8" t="s">
        <v>75</v>
      </c>
      <c r="E8" t="s">
        <v>11</v>
      </c>
      <c r="F8" t="s">
        <v>13</v>
      </c>
      <c r="G8" t="str">
        <f>"%OutputRoot%\"&amp;DataSources[[#This Row],[Group]]&amp;"\"&amp;DataSources[[#This Row],[Name]]&amp;"."&amp;LOWER(DataSources[[#This Row],[OutputType]])</f>
        <v>%OutputRoot%\Assets\GISST GravitySewers.csv</v>
      </c>
      <c r="H8" t="s">
        <v>58</v>
      </c>
      <c r="I8" t="s">
        <v>57</v>
      </c>
      <c r="J8" s="2">
        <v>45721.58834490741</v>
      </c>
      <c r="L8" t="s">
        <v>49</v>
      </c>
      <c r="M8" t="s">
        <v>9</v>
      </c>
      <c r="N8" t="s">
        <v>9</v>
      </c>
    </row>
    <row r="9" spans="1:14" x14ac:dyDescent="0.25">
      <c r="A9" t="s">
        <v>26</v>
      </c>
      <c r="C9" t="s">
        <v>30</v>
      </c>
      <c r="D9" t="s">
        <v>76</v>
      </c>
      <c r="E9" t="s">
        <v>11</v>
      </c>
      <c r="F9" t="s">
        <v>13</v>
      </c>
      <c r="G9" t="str">
        <f>"%OutputRoot%\"&amp;DataSources[[#This Row],[Group]]&amp;"\"&amp;DataSources[[#This Row],[Name]]&amp;"."&amp;LOWER(DataSources[[#This Row],[OutputType]])</f>
        <v>%OutputRoot%\Assets\GISST Manholes.csv</v>
      </c>
      <c r="H9" t="s">
        <v>58</v>
      </c>
      <c r="I9" t="s">
        <v>57</v>
      </c>
      <c r="J9" s="2">
        <v>45721.609201388892</v>
      </c>
      <c r="L9" t="s">
        <v>49</v>
      </c>
      <c r="M9" t="s">
        <v>9</v>
      </c>
      <c r="N9" t="s">
        <v>9</v>
      </c>
    </row>
    <row r="10" spans="1:14" x14ac:dyDescent="0.25">
      <c r="A10" t="s">
        <v>27</v>
      </c>
      <c r="C10" t="s">
        <v>30</v>
      </c>
      <c r="D10" t="s">
        <v>77</v>
      </c>
      <c r="E10" t="s">
        <v>11</v>
      </c>
      <c r="F10" t="s">
        <v>13</v>
      </c>
      <c r="G10" t="str">
        <f>"%OutputRoot%\"&amp;DataSources[[#This Row],[Group]]&amp;"\"&amp;DataSources[[#This Row],[Name]]&amp;"."&amp;LOWER(DataSources[[#This Row],[OutputType]])</f>
        <v>%OutputRoot%\Assets\GISST Pumps.csv</v>
      </c>
      <c r="H10" t="s">
        <v>53</v>
      </c>
      <c r="I10" t="s">
        <v>57</v>
      </c>
      <c r="J10" s="2">
        <v>45707.669351851851</v>
      </c>
      <c r="L10" t="s">
        <v>49</v>
      </c>
      <c r="M10" t="s">
        <v>9</v>
      </c>
      <c r="N10" t="s">
        <v>9</v>
      </c>
    </row>
    <row r="11" spans="1:14" x14ac:dyDescent="0.25">
      <c r="A11" t="s">
        <v>28</v>
      </c>
      <c r="C11" t="s">
        <v>30</v>
      </c>
      <c r="D11" t="s">
        <v>78</v>
      </c>
      <c r="E11" t="s">
        <v>11</v>
      </c>
      <c r="F11" t="s">
        <v>13</v>
      </c>
      <c r="G11" t="str">
        <f>"%OutputRoot%\"&amp;DataSources[[#This Row],[Group]]&amp;"\"&amp;DataSources[[#This Row],[Name]]&amp;"."&amp;LOWER(DataSources[[#This Row],[OutputType]])</f>
        <v>%OutputRoot%\Assets\GISST Tanks.csv</v>
      </c>
      <c r="H11" t="s">
        <v>53</v>
      </c>
      <c r="I11" t="s">
        <v>57</v>
      </c>
      <c r="J11" s="2">
        <v>45707.669305555559</v>
      </c>
      <c r="L11" t="s">
        <v>49</v>
      </c>
      <c r="M11" t="s">
        <v>9</v>
      </c>
      <c r="N11" t="s">
        <v>9</v>
      </c>
    </row>
    <row r="12" spans="1:14" x14ac:dyDescent="0.25">
      <c r="A12" t="s">
        <v>29</v>
      </c>
      <c r="C12" t="s">
        <v>30</v>
      </c>
      <c r="D12" t="s">
        <v>79</v>
      </c>
      <c r="E12" t="s">
        <v>11</v>
      </c>
      <c r="F12" t="s">
        <v>13</v>
      </c>
      <c r="G12" t="str">
        <f>"%OutputRoot%\"&amp;DataSources[[#This Row],[Group]]&amp;"\"&amp;DataSources[[#This Row],[Name]]&amp;"."&amp;LOWER(DataSources[[#This Row],[OutputType]])</f>
        <v>%OutputRoot%\Assets\GISST Overflows.csv</v>
      </c>
      <c r="H12" t="s">
        <v>53</v>
      </c>
      <c r="I12" t="s">
        <v>57</v>
      </c>
      <c r="J12" s="2">
        <v>45707.669247685182</v>
      </c>
      <c r="L12" t="s">
        <v>49</v>
      </c>
      <c r="M12" t="s">
        <v>9</v>
      </c>
      <c r="N12" t="s">
        <v>9</v>
      </c>
    </row>
    <row r="13" spans="1:14" x14ac:dyDescent="0.25">
      <c r="A13" t="s">
        <v>31</v>
      </c>
      <c r="C13" t="s">
        <v>30</v>
      </c>
      <c r="D13" t="s">
        <v>80</v>
      </c>
      <c r="E13" t="s">
        <v>11</v>
      </c>
      <c r="F13" t="s">
        <v>13</v>
      </c>
      <c r="G13" t="str">
        <f>"%OutputRoot%\"&amp;DataSources[[#This Row],[Group]]&amp;"\"&amp;DataSources[[#This Row],[Name]]&amp;"."&amp;LOWER(DataSources[[#This Row],[OutputType]])</f>
        <v>%OutputRoot%\Assets\GISST PressureSewers.csv</v>
      </c>
      <c r="H13" t="s">
        <v>53</v>
      </c>
      <c r="I13" t="s">
        <v>57</v>
      </c>
      <c r="J13" s="2">
        <v>45707.669918981483</v>
      </c>
      <c r="L13" t="s">
        <v>49</v>
      </c>
      <c r="M13" t="s">
        <v>9</v>
      </c>
      <c r="N13" t="s">
        <v>9</v>
      </c>
    </row>
    <row r="14" spans="1:14" x14ac:dyDescent="0.25">
      <c r="A14" t="s">
        <v>32</v>
      </c>
      <c r="C14" t="s">
        <v>30</v>
      </c>
      <c r="D14" t="s">
        <v>81</v>
      </c>
      <c r="E14" t="s">
        <v>11</v>
      </c>
      <c r="F14" t="s">
        <v>13</v>
      </c>
      <c r="G14" t="str">
        <f>"%OutputRoot%\"&amp;DataSources[[#This Row],[Group]]&amp;"\"&amp;DataSources[[#This Row],[Name]]&amp;"."&amp;LOWER(DataSources[[#This Row],[OutputType]])</f>
        <v>%OutputRoot%\Assets\AddressBasePremium.csv</v>
      </c>
      <c r="H14" t="s">
        <v>53</v>
      </c>
      <c r="I14" t="s">
        <v>57</v>
      </c>
      <c r="J14" s="2">
        <v>45721.743935185186</v>
      </c>
      <c r="L14" t="s">
        <v>49</v>
      </c>
      <c r="M14" t="s">
        <v>9</v>
      </c>
      <c r="N14" t="s">
        <v>9</v>
      </c>
    </row>
    <row r="15" spans="1:14" x14ac:dyDescent="0.25">
      <c r="A15" t="s">
        <v>33</v>
      </c>
      <c r="B15" t="s">
        <v>35</v>
      </c>
      <c r="C15" t="s">
        <v>8</v>
      </c>
      <c r="D15" t="s">
        <v>96</v>
      </c>
      <c r="E15" t="s">
        <v>11</v>
      </c>
      <c r="F15" t="s">
        <v>38</v>
      </c>
      <c r="G15" t="str">
        <f>"%OutputRoot%\"&amp;DataSources[[#This Row],[Group]]&amp;"\"&amp;DataSources[[#This Row],[Name]]&amp;"."&amp;LOWER(DataSources[[#This Row],[OutputType]])</f>
        <v>%OutputRoot%\Incidents\PIRS-Main.csv</v>
      </c>
      <c r="H15" t="s">
        <v>53</v>
      </c>
      <c r="I15" t="s">
        <v>57</v>
      </c>
      <c r="J15" s="2">
        <v>45707.659988425927</v>
      </c>
      <c r="L15" t="s">
        <v>15</v>
      </c>
      <c r="M15" t="s">
        <v>36</v>
      </c>
      <c r="N15" t="s">
        <v>37</v>
      </c>
    </row>
    <row r="16" spans="1:14" x14ac:dyDescent="0.25">
      <c r="A16" t="s">
        <v>39</v>
      </c>
      <c r="C16" t="s">
        <v>8</v>
      </c>
      <c r="D16" t="s">
        <v>97</v>
      </c>
      <c r="E16" t="s">
        <v>11</v>
      </c>
      <c r="F16" t="s">
        <v>38</v>
      </c>
      <c r="G16" t="str">
        <f>"%OutputRoot%\"&amp;DataSources[[#This Row],[Group]]&amp;"\"&amp;DataSources[[#This Row],[Name]]&amp;"."&amp;LOWER(DataSources[[#This Row],[OutputType]])</f>
        <v>%OutputRoot%\Incidents\PIRS-InitialDetails.csv</v>
      </c>
      <c r="H16" t="s">
        <v>53</v>
      </c>
      <c r="I16" t="s">
        <v>57</v>
      </c>
      <c r="J16" s="2">
        <v>45707.659988425927</v>
      </c>
      <c r="L16" t="s">
        <v>15</v>
      </c>
      <c r="M16" t="s">
        <v>40</v>
      </c>
      <c r="N16" t="s">
        <v>41</v>
      </c>
    </row>
    <row r="17" spans="1:14" x14ac:dyDescent="0.25">
      <c r="A17" t="s">
        <v>62</v>
      </c>
      <c r="C17" t="s">
        <v>59</v>
      </c>
      <c r="D17" t="s">
        <v>90</v>
      </c>
      <c r="E17" t="s">
        <v>60</v>
      </c>
      <c r="F17" t="s">
        <v>61</v>
      </c>
      <c r="G17" t="str">
        <f>"%OutputRoot%\"&amp;DataSources[[#This Row],[Group]]&amp;"\"&amp;DataSources[[#This Row],[Name]]&amp;"."&amp;LOWER(DataSources[[#This Row],[OutputType]])</f>
        <v>%OutputRoot%\Demography\Postcodes.shp</v>
      </c>
      <c r="H17" t="s">
        <v>53</v>
      </c>
      <c r="I17" t="s">
        <v>82</v>
      </c>
      <c r="J17" s="2">
        <v>0</v>
      </c>
      <c r="L17" t="s">
        <v>60</v>
      </c>
      <c r="M17" t="s">
        <v>9</v>
      </c>
      <c r="N17" t="s">
        <v>9</v>
      </c>
    </row>
    <row r="18" spans="1:14" x14ac:dyDescent="0.25">
      <c r="A18" t="s">
        <v>65</v>
      </c>
      <c r="C18" t="s">
        <v>8</v>
      </c>
      <c r="D18" t="s">
        <v>98</v>
      </c>
      <c r="E18" t="s">
        <v>11</v>
      </c>
      <c r="F18" t="s">
        <v>38</v>
      </c>
      <c r="G18" t="str">
        <f>"%OutputRoot%\"&amp;DataSources[[#This Row],[Group]]&amp;"\"&amp;DataSources[[#This Row],[Name]]&amp;"."&amp;LOWER(DataSources[[#This Row],[OutputType]])</f>
        <v>%OutputRoot%\Incidents\RisingMain Bursts.csv</v>
      </c>
      <c r="H18" t="s">
        <v>53</v>
      </c>
      <c r="I18" t="s">
        <v>82</v>
      </c>
      <c r="J18" s="2">
        <v>0</v>
      </c>
      <c r="L18" t="s">
        <v>15</v>
      </c>
      <c r="M18" t="s">
        <v>66</v>
      </c>
      <c r="N18" t="s">
        <v>67</v>
      </c>
    </row>
    <row r="19" spans="1:14" x14ac:dyDescent="0.25">
      <c r="A19" t="s">
        <v>69</v>
      </c>
      <c r="C19" t="s">
        <v>8</v>
      </c>
      <c r="D19" t="s">
        <v>99</v>
      </c>
      <c r="E19" t="s">
        <v>11</v>
      </c>
      <c r="F19" t="s">
        <v>13</v>
      </c>
      <c r="G19" t="str">
        <f>"%OutputRoot%\"&amp;DataSources[[#This Row],[Group]]&amp;"\"&amp;DataSources[[#This Row],[Name]]&amp;"."&amp;LOWER(DataSources[[#This Row],[OutputType]])</f>
        <v>%OutputRoot%\Assets\SiteSurveys.csv</v>
      </c>
      <c r="H19" t="s">
        <v>53</v>
      </c>
      <c r="I19" t="s">
        <v>82</v>
      </c>
      <c r="J19" s="2">
        <v>0</v>
      </c>
      <c r="L19" t="s">
        <v>68</v>
      </c>
      <c r="M19" t="s">
        <v>9</v>
      </c>
      <c r="N19" t="s">
        <v>9</v>
      </c>
    </row>
    <row r="20" spans="1:14" x14ac:dyDescent="0.25">
      <c r="A20" t="s">
        <v>64</v>
      </c>
      <c r="C20" t="s">
        <v>73</v>
      </c>
      <c r="D20" t="s">
        <v>85</v>
      </c>
      <c r="E20" t="s">
        <v>11</v>
      </c>
      <c r="F20" t="s">
        <v>38</v>
      </c>
      <c r="G20" t="str">
        <f>"%OutputRoot%\"&amp;DataSources[[#This Row],[Group]]&amp;"\"&amp;DataSources[[#This Row],[Name]]&amp;"."&amp;LOWER(DataSources[[#This Row],[OutputType]])</f>
        <v>%OutputRoot%\Incidents\HFRR Properties.csv</v>
      </c>
      <c r="H20" t="s">
        <v>53</v>
      </c>
      <c r="I20" t="s">
        <v>82</v>
      </c>
      <c r="J20" s="2">
        <v>0</v>
      </c>
      <c r="L20" t="s">
        <v>15</v>
      </c>
      <c r="M20" t="s">
        <v>16</v>
      </c>
      <c r="N20" t="s">
        <v>17</v>
      </c>
    </row>
    <row r="21" spans="1:14" x14ac:dyDescent="0.25">
      <c r="A21" t="s">
        <v>63</v>
      </c>
      <c r="C21" t="s">
        <v>71</v>
      </c>
      <c r="D21" s="7" t="s">
        <v>104</v>
      </c>
      <c r="E21" t="s">
        <v>11</v>
      </c>
      <c r="F21" t="s">
        <v>38</v>
      </c>
      <c r="G21" t="str">
        <f>"%OutputRoot%\"&amp;DataSources[[#This Row],[Group]]&amp;"\"&amp;DataSources[[#This Row],[Name]]&amp;"."&amp;LOWER(DataSources[[#This Row],[OutputType]])</f>
        <v>%OutputRoot%\Incidents\HFRR Incidents.csv</v>
      </c>
      <c r="H21" t="s">
        <v>53</v>
      </c>
      <c r="I21" t="s">
        <v>82</v>
      </c>
      <c r="J21" s="2">
        <v>0</v>
      </c>
      <c r="L21" t="s">
        <v>15</v>
      </c>
      <c r="M21" t="s">
        <v>16</v>
      </c>
      <c r="N21" t="s">
        <v>17</v>
      </c>
    </row>
  </sheetData>
  <mergeCells count="2">
    <mergeCell ref="L1:N1"/>
    <mergeCell ref="A1:K1"/>
  </mergeCells>
  <phoneticPr fontId="2" type="noConversion"/>
  <conditionalFormatting sqref="I3:I21">
    <cfRule type="cellIs" dxfId="2" priority="1" operator="equal">
      <formula>"Complete"</formula>
    </cfRule>
    <cfRule type="cellIs" dxfId="1" priority="2" operator="equal">
      <formula>"Error"</formula>
    </cfRule>
  </conditionalFormatting>
  <dataValidations count="1">
    <dataValidation type="list" allowBlank="1" showInputMessage="1" showErrorMessage="1" sqref="H3:H21" xr:uid="{55634B40-7FEF-4B61-A14C-7356574983FA}">
      <formula1>"Monthly,Quarterly,Annually"</formula1>
    </dataValidation>
  </dataValidations>
  <pageMargins left="0.7" right="0.7" top="0.75" bottom="0.75" header="0.3" footer="0.3"/>
  <headerFooter>
    <oddHeader>&amp;L&amp;"Calibri"&amp;10&amp;K000000 ST Classification: UNMARKED&amp;1#_x000D_</oddHeader>
  </headerFooter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10F4-13A2-4BE4-A9EA-0D884B335152}">
  <sheetPr codeName="shEnv"/>
  <dimension ref="A1:B5"/>
  <sheetViews>
    <sheetView workbookViewId="0">
      <selection activeCell="B6" sqref="B6"/>
    </sheetView>
  </sheetViews>
  <sheetFormatPr defaultRowHeight="15" x14ac:dyDescent="0.25"/>
  <cols>
    <col min="1" max="1" width="17.28515625" bestFit="1" customWidth="1"/>
    <col min="2" max="2" width="30.85546875" bestFit="1" customWidth="1"/>
  </cols>
  <sheetData>
    <row r="1" spans="1:2" x14ac:dyDescent="0.25">
      <c r="A1" t="s">
        <v>86</v>
      </c>
      <c r="B1" t="s">
        <v>87</v>
      </c>
    </row>
    <row r="2" spans="1:2" x14ac:dyDescent="0.25">
      <c r="A2" t="s">
        <v>88</v>
      </c>
      <c r="B2" t="s">
        <v>89</v>
      </c>
    </row>
    <row r="3" spans="1:2" x14ac:dyDescent="0.25">
      <c r="A3" t="s">
        <v>100</v>
      </c>
      <c r="B3" s="1" t="s">
        <v>101</v>
      </c>
    </row>
    <row r="4" spans="1:2" x14ac:dyDescent="0.25">
      <c r="A4" t="s">
        <v>102</v>
      </c>
      <c r="B4" s="1" t="s">
        <v>103</v>
      </c>
    </row>
    <row r="5" spans="1:2" x14ac:dyDescent="0.25">
      <c r="A5" t="s">
        <v>105</v>
      </c>
      <c r="B5" t="s">
        <v>106</v>
      </c>
    </row>
  </sheetData>
  <hyperlinks>
    <hyperlink ref="B3" r:id="rId1" xr:uid="{663FF361-FE19-4480-960F-6321FB6BFC44}"/>
    <hyperlink ref="B4" r:id="rId2" xr:uid="{69CFADDB-6B99-4E94-98E2-1BD8F5B250C2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CA91D-303C-48AE-B073-2E251C968DFE}">
  <sheetPr codeName="shTODO"/>
  <dimension ref="A1:A14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42</v>
      </c>
    </row>
    <row r="2" spans="1:1" x14ac:dyDescent="0.25">
      <c r="A2" t="s">
        <v>9</v>
      </c>
    </row>
    <row r="3" spans="1:1" x14ac:dyDescent="0.25">
      <c r="A3" t="s">
        <v>9</v>
      </c>
    </row>
    <row r="4" spans="1:1" x14ac:dyDescent="0.25">
      <c r="A4" t="s">
        <v>43</v>
      </c>
    </row>
    <row r="5" spans="1:1" x14ac:dyDescent="0.25">
      <c r="A5" t="s">
        <v>44</v>
      </c>
    </row>
    <row r="6" spans="1:1" x14ac:dyDescent="0.25">
      <c r="A6" t="s">
        <v>63</v>
      </c>
    </row>
    <row r="7" spans="1:1" x14ac:dyDescent="0.25">
      <c r="A7" t="s">
        <v>64</v>
      </c>
    </row>
    <row r="10" spans="1:1" x14ac:dyDescent="0.25">
      <c r="A10" t="s">
        <v>70</v>
      </c>
    </row>
    <row r="11" spans="1:1" x14ac:dyDescent="0.25">
      <c r="A11" t="s">
        <v>45</v>
      </c>
    </row>
    <row r="12" spans="1:1" x14ac:dyDescent="0.25">
      <c r="A12" t="s">
        <v>46</v>
      </c>
    </row>
    <row r="13" spans="1:1" x14ac:dyDescent="0.25">
      <c r="A13" t="s">
        <v>47</v>
      </c>
    </row>
    <row r="14" spans="1:1" x14ac:dyDescent="0.25">
      <c r="A14" t="s">
        <v>48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8BD7B-D651-444A-8D16-52239637EA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DataSources</vt:lpstr>
      <vt:lpstr>Env</vt:lpstr>
      <vt:lpstr>TBC</vt:lpstr>
    </vt:vector>
  </TitlesOfParts>
  <Company>Severn Trent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James-PR Warren</dc:creator>
  <cp:lastModifiedBy>Sancarn .</cp:lastModifiedBy>
  <dcterms:created xsi:type="dcterms:W3CDTF">2025-01-30T15:38:34Z</dcterms:created>
  <dcterms:modified xsi:type="dcterms:W3CDTF">2025-03-10T10:27:35Z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7673f16-4d29-45e4-bf06-c4d3e97ecf7c_Enabled">
    <vt:lpwstr>true</vt:lpwstr>
  </property>
  <property fmtid="{D5CDD505-2E9C-101B-9397-08002B2CF9AE}" pid="3" name="MSIP_Label_77673f16-4d29-45e4-bf06-c4d3e97ecf7c_SetDate">
    <vt:lpwstr>2025-01-30T15:43:14Z</vt:lpwstr>
  </property>
  <property fmtid="{D5CDD505-2E9C-101B-9397-08002B2CF9AE}" pid="4" name="MSIP_Label_77673f16-4d29-45e4-bf06-c4d3e97ecf7c_Method">
    <vt:lpwstr>Privileged</vt:lpwstr>
  </property>
  <property fmtid="{D5CDD505-2E9C-101B-9397-08002B2CF9AE}" pid="5" name="MSIP_Label_77673f16-4d29-45e4-bf06-c4d3e97ecf7c_Name">
    <vt:lpwstr>UNMARKED</vt:lpwstr>
  </property>
  <property fmtid="{D5CDD505-2E9C-101B-9397-08002B2CF9AE}" pid="6" name="MSIP_Label_77673f16-4d29-45e4-bf06-c4d3e97ecf7c_SiteId">
    <vt:lpwstr>e15c1e99-7be3-495c-978e-eca7b8ea9f31</vt:lpwstr>
  </property>
  <property fmtid="{D5CDD505-2E9C-101B-9397-08002B2CF9AE}" pid="7" name="MSIP_Label_77673f16-4d29-45e4-bf06-c4d3e97ecf7c_ActionId">
    <vt:lpwstr>8cdde938-1451-4187-b62b-4bed3841f892</vt:lpwstr>
  </property>
  <property fmtid="{D5CDD505-2E9C-101B-9397-08002B2CF9AE}" pid="8" name="MSIP_Label_77673f16-4d29-45e4-bf06-c4d3e97ecf7c_ContentBits">
    <vt:lpwstr>1</vt:lpwstr>
  </property>
</Properties>
</file>