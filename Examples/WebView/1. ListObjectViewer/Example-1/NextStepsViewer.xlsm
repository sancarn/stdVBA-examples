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WebView\ListObjectViewer\Examples\"/>
    </mc:Choice>
  </mc:AlternateContent>
  <xr:revisionPtr revIDLastSave="0" documentId="13_ncr:1_{45B0CAD9-6B5D-45FC-B356-7C895640D88E}" xr6:coauthVersionLast="47" xr6:coauthVersionMax="47" xr10:uidLastSave="{00000000-0000-0000-0000-000000000000}"/>
  <bookViews>
    <workbookView xWindow="-120" yWindow="-120" windowWidth="29040" windowHeight="15720" xr2:uid="{39245FEF-6D5A-4183-A8AD-BDB37F364BF1}"/>
  </bookViews>
  <sheets>
    <sheet name="Employees" sheetId="1" r:id="rId1"/>
    <sheet name="NextStep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1" l="1"/>
  <c r="H2" i="2" a="1"/>
  <c r="H2" i="2" s="1"/>
  <c r="H3" i="2" a="1"/>
  <c r="H3" i="2" s="1"/>
  <c r="H4" i="2" a="1"/>
  <c r="H4" i="2" s="1"/>
  <c r="H5" i="2" a="1"/>
  <c r="H5" i="2" s="1"/>
  <c r="H6" i="2" a="1"/>
  <c r="H6" i="2" s="1"/>
  <c r="J6" i="1" s="1" a="1"/>
  <c r="J6" i="1" s="1"/>
  <c r="H7" i="2" a="1"/>
  <c r="H7" i="2" s="1"/>
  <c r="J7" i="1" s="1" a="1"/>
  <c r="J7" i="1" s="1"/>
  <c r="H8" i="2" a="1"/>
  <c r="H8" i="2" s="1"/>
  <c r="H9" i="2" a="1"/>
  <c r="H9" i="2" s="1"/>
  <c r="J9" i="1" s="1" a="1"/>
  <c r="J9" i="1" s="1"/>
  <c r="H10" i="2" a="1"/>
  <c r="H10" i="2" s="1"/>
  <c r="J10" i="1" s="1" a="1"/>
  <c r="J10" i="1" s="1"/>
  <c r="H11" i="2" a="1"/>
  <c r="H11" i="2" s="1"/>
  <c r="J11" i="1" s="1" a="1"/>
  <c r="J11" i="1" s="1"/>
  <c r="H12" i="2" a="1"/>
  <c r="H12" i="2" s="1"/>
  <c r="H13" i="2" a="1"/>
  <c r="H13" i="2" s="1"/>
  <c r="H14" i="2" a="1"/>
  <c r="H14" i="2" s="1"/>
  <c r="H15" i="2" a="1"/>
  <c r="H15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K3" i="1"/>
  <c r="K4" i="1"/>
  <c r="K5" i="1"/>
  <c r="K6" i="1"/>
  <c r="K7" i="1"/>
  <c r="K8" i="1"/>
  <c r="K9" i="1"/>
  <c r="K10" i="1"/>
  <c r="K11" i="1"/>
  <c r="J5" i="1" l="1" a="1"/>
  <c r="J5" i="1" s="1"/>
  <c r="J8" i="1" a="1"/>
  <c r="J8" i="1" s="1"/>
  <c r="J2" i="1" a="1"/>
  <c r="J2" i="1" s="1"/>
  <c r="J3" i="1" a="1"/>
  <c r="J3" i="1" s="1"/>
  <c r="J4" i="1" a="1"/>
  <c r="J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<sst xmlns="http://schemas.openxmlformats.org/spreadsheetml/2006/main" count="200" uniqueCount="140">
  <si>
    <t>ID</t>
  </si>
  <si>
    <t>FirstName</t>
  </si>
  <si>
    <t>LastName</t>
  </si>
  <si>
    <t>Role</t>
  </si>
  <si>
    <t>Department</t>
  </si>
  <si>
    <t>Email</t>
  </si>
  <si>
    <t>HireDate</t>
  </si>
  <si>
    <t>Salary</t>
  </si>
  <si>
    <t>FullTime</t>
  </si>
  <si>
    <t>E001</t>
  </si>
  <si>
    <t>Alice</t>
  </si>
  <si>
    <t>Morgan</t>
  </si>
  <si>
    <t>Senior Software Engineer</t>
  </si>
  <si>
    <t>Engineering</t>
  </si>
  <si>
    <t>alice.morgan@example.com</t>
  </si>
  <si>
    <t>E002</t>
  </si>
  <si>
    <t>Brandon</t>
  </si>
  <si>
    <t>Lee</t>
  </si>
  <si>
    <t>DevOps Engineer</t>
  </si>
  <si>
    <t>brandon.lee@example.com</t>
  </si>
  <si>
    <t>E003</t>
  </si>
  <si>
    <t>Carol</t>
  </si>
  <si>
    <t>Singh</t>
  </si>
  <si>
    <t>Product Manager</t>
  </si>
  <si>
    <t>Product</t>
  </si>
  <si>
    <t>carol.singh@example.com</t>
  </si>
  <si>
    <t>E004</t>
  </si>
  <si>
    <t>Daniel</t>
  </si>
  <si>
    <t>Ruiz</t>
  </si>
  <si>
    <t>QA Engineer</t>
  </si>
  <si>
    <t>daniel.ruiz@example.com</t>
  </si>
  <si>
    <t>E005</t>
  </si>
  <si>
    <t>Emma</t>
  </si>
  <si>
    <t>Patel</t>
  </si>
  <si>
    <t>Data Analyst</t>
  </si>
  <si>
    <t>Data</t>
  </si>
  <si>
    <t>emma.patel@example.com</t>
  </si>
  <si>
    <t>E006</t>
  </si>
  <si>
    <t>Felix</t>
  </si>
  <si>
    <t>O'Neal</t>
  </si>
  <si>
    <t>HR Generalist</t>
  </si>
  <si>
    <t>HR</t>
  </si>
  <si>
    <t>felix.oneal@example.com</t>
  </si>
  <si>
    <t>E007</t>
  </si>
  <si>
    <t>Grace</t>
  </si>
  <si>
    <t>Novak</t>
  </si>
  <si>
    <t>UX Designer</t>
  </si>
  <si>
    <t>Design</t>
  </si>
  <si>
    <t>grace.novak@example.com</t>
  </si>
  <si>
    <t>E008</t>
  </si>
  <si>
    <t>Hector</t>
  </si>
  <si>
    <t>Alvarez</t>
  </si>
  <si>
    <t>Customer Success Rep</t>
  </si>
  <si>
    <t>Customer Success</t>
  </si>
  <si>
    <t>hector.alvarez@example.com</t>
  </si>
  <si>
    <t>E009</t>
  </si>
  <si>
    <t>Isla</t>
  </si>
  <si>
    <t>Koh</t>
  </si>
  <si>
    <t>Technical Writer</t>
  </si>
  <si>
    <t>Documentation</t>
  </si>
  <si>
    <t>isla.koh@example.com</t>
  </si>
  <si>
    <t>E010</t>
  </si>
  <si>
    <t>Jack</t>
  </si>
  <si>
    <t>Müller</t>
  </si>
  <si>
    <t>Intern - Engineering</t>
  </si>
  <si>
    <t>jack.muller@example.com</t>
  </si>
  <si>
    <t>Owner_ID</t>
  </si>
  <si>
    <t>NextStep</t>
  </si>
  <si>
    <t>DueDate</t>
  </si>
  <si>
    <t>Priority</t>
  </si>
  <si>
    <t>Status</t>
  </si>
  <si>
    <t>Notes</t>
  </si>
  <si>
    <t>T001</t>
  </si>
  <si>
    <t>Finalize reliability improvement RFC and schedule rollout</t>
  </si>
  <si>
    <t>High</t>
  </si>
  <si>
    <t>In Progress</t>
  </si>
  <si>
    <t>Coordinate with infra; include downtime plan</t>
  </si>
  <si>
    <t>T002</t>
  </si>
  <si>
    <t>Migrate CI pipelines to new self-hosted runners</t>
  </si>
  <si>
    <t>Not Started</t>
  </si>
  <si>
    <t>Need access to new runners and secrets</t>
  </si>
  <si>
    <t>T003</t>
  </si>
  <si>
    <t>Finalize and publish Q2 product roadmap</t>
  </si>
  <si>
    <t>Sync with sales and marketing before publish</t>
  </si>
  <si>
    <t>T004</t>
  </si>
  <si>
    <t>Design and implement automated regression pipelines</t>
  </si>
  <si>
    <t>Medium</t>
  </si>
  <si>
    <t>Evaluate Playwright vs pytest for stability</t>
  </si>
  <si>
    <t>T005</t>
  </si>
  <si>
    <t>Build sales metrics dashboard and initial visualizations</t>
  </si>
  <si>
    <t>Data sources: CRM and data warehouse</t>
  </si>
  <si>
    <t>T006</t>
  </si>
  <si>
    <t>Update PTO and remote work sections in employee handbook</t>
  </si>
  <si>
    <t>Low</t>
  </si>
  <si>
    <t>Legal review may be required</t>
  </si>
  <si>
    <t>T007</t>
  </si>
  <si>
    <t>Deliver new onboarding UX flows and usability findings</t>
  </si>
  <si>
    <t>Usability tests scheduled next week</t>
  </si>
  <si>
    <t>T008</t>
  </si>
  <si>
    <t>Reach out to churned customers with feedback survey</t>
  </si>
  <si>
    <t>Use standardized survey script; offer incentives</t>
  </si>
  <si>
    <t>T009</t>
  </si>
  <si>
    <t>Publish API documentation v2 after engineering review</t>
  </si>
  <si>
    <t>Ensure code samples are up to date</t>
  </si>
  <si>
    <t>T010</t>
  </si>
  <si>
    <t>Prepare and present internship final project</t>
  </si>
  <si>
    <t>Mentor: E001 (Alice Morgan); slide deck draft due 2026-04-03</t>
  </si>
  <si>
    <t>T011</t>
  </si>
  <si>
    <t>Run on-call postmortem for recent outage and publish TL;DR</t>
  </si>
  <si>
    <t>Invite incident responders; include timeline and action items</t>
  </si>
  <si>
    <t>T012</t>
  </si>
  <si>
    <t>Harden CI security: rotate secrets and add ephemeral tokens</t>
  </si>
  <si>
    <t>Coordinate with security team for approvals</t>
  </si>
  <si>
    <t>T013</t>
  </si>
  <si>
    <t>Conduct stakeholder workshop for feature prioritization</t>
  </si>
  <si>
    <t>Prepare prioritization matrix and materials</t>
  </si>
  <si>
    <t>T014</t>
  </si>
  <si>
    <t>Add flaky test detection and quarantine mechanism</t>
  </si>
  <si>
    <t>Tag tests and notify owners automatically</t>
  </si>
  <si>
    <t>T015</t>
  </si>
  <si>
    <t>Validate ETL pipeline freshness and set SLA alerts</t>
  </si>
  <si>
    <t>Implement threshold-based alerts in monitoring</t>
  </si>
  <si>
    <t>T016</t>
  </si>
  <si>
    <t>Run benefits enrollment Q&amp;A session for employees</t>
  </si>
  <si>
    <t>Create FAQ doc and slide deck</t>
  </si>
  <si>
    <t>T017</t>
  </si>
  <si>
    <t>Create component library for common UI patterns</t>
  </si>
  <si>
    <t>Start with buttons, forms, and modals</t>
  </si>
  <si>
    <t>T018</t>
  </si>
  <si>
    <t>Build onboarding drip email sequence for new customers</t>
  </si>
  <si>
    <t>Coordinate content with marketing</t>
  </si>
  <si>
    <t>T019</t>
  </si>
  <si>
    <t>Add code snippets for common SDK use-cases to docs</t>
  </si>
  <si>
    <t>Languages: Python, JavaScript, Java</t>
  </si>
  <si>
    <t>T020</t>
  </si>
  <si>
    <t>Benchmark CI job durations and optimize slow steps</t>
  </si>
  <si>
    <t>Collect historical job data and propose caching</t>
  </si>
  <si>
    <t>NextSteps</t>
  </si>
  <si>
    <t>Serialized</t>
  </si>
  <si>
    <t>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</si>
</sst>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4" xfId="0" applyFont="1" applyBorder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14" fontId="0" fillId="0" borderId="8" xfId="0" applyNumberFormat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30">
    <dxf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0</xdr:row>
      <xdr:rowOff>171450</xdr:rowOff>
    </xdr:from>
    <xdr:to>
      <xdr:col>13</xdr:col>
      <xdr:colOff>495300</xdr:colOff>
      <xdr:row>3</xdr:row>
      <xdr:rowOff>142875</xdr:rowOff>
    </xdr:to>
    <xdr:sp macro="[0]!ShowForm" textlink="">
      <xdr:nvSpPr>
        <xdr:cNvPr id="2" name="Rectangle 1">
          <a:extLst>
            <a:ext uri="{FF2B5EF4-FFF2-40B4-BE49-F238E27FC236}">
              <a16:creationId xmlns:a16="http://schemas.microsoft.com/office/drawing/2014/main" id="{DA5A369C-EB1D-66D0-3584-78AFD47C60DE}"/>
            </a:ext>
          </a:extLst>
        </xdr:cNvPr>
        <xdr:cNvSpPr/>
      </xdr:nvSpPr>
      <xdr:spPr>
        <a:xfrm>
          <a:off x="11849100" y="171450"/>
          <a:ext cx="1619250" cy="571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FA3131-1433-4B99-8997-7D88A90EC680}" name="Employees" displayName="Employees" ref="A1:K11" totalsRowShown="0" headerRowDxfId="29" dataDxfId="27" headerRowBorderDxfId="28" tableBorderDxfId="26" totalsRowBorderDxfId="25">
  <autoFilter ref="A1:K11" xr:uid="{7EFA3131-1433-4B99-8997-7D88A90EC680}"/>
  <tableColumns count="11">
    <tableColumn id="1" xr3:uid="{6447491A-A42A-471C-97EC-9689DEE76A58}" name="ID" dataDxfId="24"/>
    <tableColumn id="2" xr3:uid="{8905761D-679A-4C14-B7F6-6A7B0F82ABA9}" name="FirstName" dataDxfId="23"/>
    <tableColumn id="3" xr3:uid="{70D62C28-E401-4E30-8582-EAE359709902}" name="LastName" dataDxfId="22"/>
    <tableColumn id="4" xr3:uid="{8B8651FB-4A7A-4BFA-B75B-6B911AA438ED}" name="Role" dataDxfId="21"/>
    <tableColumn id="5" xr3:uid="{0F641998-E04E-4751-8934-A0551A892950}" name="Department" dataDxfId="20"/>
    <tableColumn id="6" xr3:uid="{F44C8750-0B65-4DF7-BD81-4DD826B0C952}" name="Email" dataDxfId="19"/>
    <tableColumn id="7" xr3:uid="{C4B73A10-4ACC-4E62-837E-DFE7A36862F6}" name="HireDate" dataDxfId="18"/>
    <tableColumn id="8" xr3:uid="{E4424F50-47FA-4596-B124-9A609EA9E590}" name="Salary" dataDxfId="17"/>
    <tableColumn id="9" xr3:uid="{952442D4-9A55-47B4-A534-DFBFFD803F35}" name="FullTime" dataDxfId="16"/>
    <tableColumn id="10" xr3:uid="{AB10161A-BD4E-4ED2-9715-AE1245704402}" name="NextSteps" dataDxfId="15">
      <calculatedColumnFormula array="1">"[" &amp; _xlfn.TEXTJOIN(",",FALSE,_xlfn._xlws.FILTER(NextSteps[Serialized],NextSteps[Owner_ID]=Employees[[#This Row],[ID]])) &amp; "]"</calculatedColumnFormula>
    </tableColumn>
    <tableColumn id="11" xr3:uid="{8D23E0F1-C535-4DE5-BAF5-2AD4CE2233A6}" name="_" dataDxfId="14">
      <calculatedColumnFormula>""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AEF40-A691-45BF-901F-807B3DD712F4}" name="NextSteps" displayName="NextSteps" ref="A1:I21" totalsRowShown="0" headerRowDxfId="13" dataDxfId="11" headerRowBorderDxfId="12" tableBorderDxfId="10" totalsRowBorderDxfId="9">
  <autoFilter ref="A1:I21" xr:uid="{016AEF40-A691-45BF-901F-807B3DD712F4}"/>
  <tableColumns count="9">
    <tableColumn id="1" xr3:uid="{1C935F22-8C1F-48B3-875C-58E7B9C0E283}" name="ID" dataDxfId="8"/>
    <tableColumn id="2" xr3:uid="{85B52C6D-CA7B-4D1E-AFB0-357A989133DD}" name="Owner_ID" dataDxfId="7"/>
    <tableColumn id="3" xr3:uid="{D95FC8A6-C06D-46DF-8B38-0C4204311CCC}" name="NextStep" dataDxfId="6"/>
    <tableColumn id="4" xr3:uid="{DB855B75-C386-4AF5-B46A-3F379FD1B09E}" name="DueDate" dataDxfId="5"/>
    <tableColumn id="5" xr3:uid="{A326A157-4FE3-42A9-B565-F7BDC09D8321}" name="Priority" dataDxfId="4"/>
    <tableColumn id="6" xr3:uid="{C4D75E32-6CB0-47C1-BA35-F879C0D20A39}" name="Status" dataDxfId="3"/>
    <tableColumn id="7" xr3:uid="{1BEA2402-4C26-4CE4-9712-356C1B0DE61E}" name="Notes" dataDxfId="2"/>
    <tableColumn id="8" xr3:uid="{9563E497-C505-4CEA-B676-60A7D565B9F2}" name="Serialized" dataDxfId="1">
      <calculatedColumnFormula array="1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calculatedColumnFormula>
    </tableColumn>
    <tableColumn id="9" xr3:uid="{E8F229FA-DAFC-4B93-8653-D781237474D9}" name="_" dataDxfId="0">
      <calculatedColumnFormula>""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0A943-6FD9-4D9D-97BA-A3193DC677FA}">
  <sheetPr codeName="shEmployees"/>
  <dimension ref="A1:K11"/>
  <sheetViews>
    <sheetView tabSelected="1" workbookViewId="0">
      <selection activeCell="F15" sqref="F15"/>
    </sheetView>
  </sheetViews>
  <sheetFormatPr defaultRowHeight="15" x14ac:dyDescent="0.25"/>
  <cols>
    <col min="1" max="1" width="5.140625" customWidth="1"/>
    <col min="2" max="2" width="12.42578125" customWidth="1"/>
    <col min="3" max="3" width="12.140625" customWidth="1"/>
    <col min="4" max="4" width="23" bestFit="1" customWidth="1"/>
    <col min="5" max="5" width="17.28515625" bestFit="1" customWidth="1"/>
    <col min="6" max="6" width="27.5703125" bestFit="1" customWidth="1"/>
    <col min="7" max="7" width="11.42578125" bestFit="1" customWidth="1"/>
    <col min="8" max="8" width="8.5703125" customWidth="1"/>
    <col min="9" max="9" width="10.85546875" customWidth="1"/>
    <col min="10" max="10" width="43.7109375" customWidth="1"/>
    <col min="11" max="11" width="4.140625" bestFit="1" customWidth="1"/>
  </cols>
  <sheetData>
    <row r="1" spans="1:11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2" t="s">
        <v>137</v>
      </c>
      <c r="K1" s="2" t="s">
        <v>139</v>
      </c>
    </row>
    <row r="2" spans="1:11" ht="15.75" thickBot="1" x14ac:dyDescent="0.3">
      <c r="A2" s="4" t="s">
        <v>9</v>
      </c>
      <c r="B2" s="5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6">
        <v>43171</v>
      </c>
      <c r="H2" s="5">
        <v>94000</v>
      </c>
      <c r="I2" s="7" t="b">
        <v>1</v>
      </c>
      <c r="J2" s="12" t="str" cm="1">
        <f t="array" ref="J2">"[" &amp; _xlfn.TEXTJOIN(",",FALSE,_xlfn._xlws.FILTER(NextSteps[Serialized],NextSteps[Owner_ID]=Employees[[#This Row],[ID]])) &amp; "]"</f>
        <v>[{"priority": "High","status": "In Progress","id": "T001","description": "Finalize reliability improvement RFC and schedule rollout","dateDue": "2026-04-15","notes": "Coordinate with infra; include downtime plan"},{"priority": "High","status": "Not Started","id": "T011","description": "Run on-call postmortem for recent outage and publish TL;DR","dateDue": "2026-04-07","notes": "Invite incident responders; include timeline and action items"},{"priority": "Medium","status": "Not Started","id": "T013","description": "Conduct stakeholder workshop for feature prioritization","dateDue": "2026-04-14","notes": "Prepare prioritization matrix and materials"},{"priority": "High","status": "In Progress","id": "T015","description": "Validate ETL pipeline freshness and set SLA alerts","dateDue": "2026-04-16","notes": "Implement threshold-based alerts in monitoring"}]</v>
      </c>
      <c r="K2" s="13" t="str">
        <f>""</f>
        <v/>
      </c>
    </row>
    <row r="3" spans="1:11" ht="15.75" thickBot="1" x14ac:dyDescent="0.3">
      <c r="A3" s="4" t="s">
        <v>15</v>
      </c>
      <c r="B3" s="5" t="s">
        <v>16</v>
      </c>
      <c r="C3" s="5" t="s">
        <v>17</v>
      </c>
      <c r="D3" s="5" t="s">
        <v>18</v>
      </c>
      <c r="E3" s="5" t="s">
        <v>13</v>
      </c>
      <c r="F3" s="5" t="s">
        <v>19</v>
      </c>
      <c r="G3" s="6">
        <v>43668</v>
      </c>
      <c r="H3" s="5">
        <v>88000</v>
      </c>
      <c r="I3" s="7" t="b">
        <v>1</v>
      </c>
      <c r="J3" s="5" t="str" cm="1">
        <f t="array" ref="J3">"[" &amp; _xlfn.TEXTJOIN(",",FALSE,_xlfn._xlws.FILTER(NextSteps[Serialized],NextSteps[Owner_ID]=Employees[[#This Row],[ID]])) &amp; "]"</f>
        <v>[{"priority": "High","status": "Not Started","id": "T002","description": "Migrate CI pipelines to new self-hosted runners","dateDue": "2026-04-30","notes": "Need access to new runners and secrets"},{"priority": "High","status": "Not Started","id": "T012","description": "Harden CI security: rotate secrets and add ephemeral tokens","dateDue": "2026-04-21","notes": "Coordinate with security team for approvals"},{"priority": "Medium","status": "Not Started","id": "T020","description": "Benchmark CI job durations and optimize slow steps","dateDue": "2026-04-29","notes": "Collect historical job data and propose caching"}]</v>
      </c>
      <c r="K3" s="13" t="str">
        <f>""</f>
        <v/>
      </c>
    </row>
    <row r="4" spans="1:11" ht="15.75" thickBot="1" x14ac:dyDescent="0.3">
      <c r="A4" s="4" t="s">
        <v>20</v>
      </c>
      <c r="B4" s="5" t="s">
        <v>21</v>
      </c>
      <c r="C4" s="5" t="s">
        <v>22</v>
      </c>
      <c r="D4" s="5" t="s">
        <v>23</v>
      </c>
      <c r="E4" s="5" t="s">
        <v>24</v>
      </c>
      <c r="F4" s="5" t="s">
        <v>25</v>
      </c>
      <c r="G4" s="6">
        <v>43836</v>
      </c>
      <c r="H4" s="5">
        <v>105000</v>
      </c>
      <c r="I4" s="7" t="b">
        <v>1</v>
      </c>
      <c r="J4" s="5" t="str" cm="1">
        <f t="array" ref="J4">"[" &amp; _xlfn.TEXTJOIN(",",FALSE,_xlfn._xlws.FILTER(NextSteps[Serialized],NextSteps[Owner_ID]=Employees[[#This Row],[ID]])) &amp; "]"</f>
        <v>[{"priority": "High","status": "In Progress","id": "T003","description": "Finalize and publish Q2 product roadmap","dateDue": "2026-04-10","notes": "Sync with sales and marketing before publish"},{"priority": "Medium","status": "Not Started","id": "T014","description": "Add flaky test detection and quarantine mechanism","dateDue": "2026-04-28","notes": "Tag tests and notify owners automatically"}]</v>
      </c>
      <c r="K4" s="13" t="str">
        <f>""</f>
        <v/>
      </c>
    </row>
    <row r="5" spans="1:11" ht="15.75" thickBot="1" x14ac:dyDescent="0.3">
      <c r="A5" s="4" t="s">
        <v>26</v>
      </c>
      <c r="B5" s="5" t="s">
        <v>27</v>
      </c>
      <c r="C5" s="5" t="s">
        <v>28</v>
      </c>
      <c r="D5" s="5" t="s">
        <v>29</v>
      </c>
      <c r="E5" s="5" t="s">
        <v>13</v>
      </c>
      <c r="F5" s="5" t="s">
        <v>30</v>
      </c>
      <c r="G5" s="6">
        <v>44515</v>
      </c>
      <c r="H5" s="5">
        <v>72000</v>
      </c>
      <c r="I5" s="7" t="b">
        <v>1</v>
      </c>
      <c r="J5" s="5" t="str" cm="1">
        <f t="array" ref="J5">"[" &amp; _xlfn.TEXTJOIN(",",FALSE,_xlfn._xlws.FILTER(NextSteps[Serialized],NextSteps[Owner_ID]=Employees[[#This Row],[ID]])) &amp; "]"</f>
        <v>[{"priority": "Medium","status": "Not Started","id": "T004","description": "Design and implement automated regression pipelines","dateDue": "2026-05-01","notes": "Evaluate Playwright vs pytest for stability"},{"priority": "Medium","status": "Not Started","id": "T018","description": "Build onboarding drip email sequence for new customers","dateDue": "2026-04-26","notes": "Coordinate content with marketing"}]</v>
      </c>
      <c r="K5" s="13" t="str">
        <f>""</f>
        <v/>
      </c>
    </row>
    <row r="6" spans="1:11" ht="15.75" thickBot="1" x14ac:dyDescent="0.3">
      <c r="A6" s="4" t="s">
        <v>31</v>
      </c>
      <c r="B6" s="5" t="s">
        <v>32</v>
      </c>
      <c r="C6" s="5" t="s">
        <v>33</v>
      </c>
      <c r="D6" s="5" t="s">
        <v>34</v>
      </c>
      <c r="E6" s="5" t="s">
        <v>35</v>
      </c>
      <c r="F6" s="5" t="s">
        <v>36</v>
      </c>
      <c r="G6" s="6">
        <v>44683</v>
      </c>
      <c r="H6" s="5">
        <v>68000</v>
      </c>
      <c r="I6" s="7" t="b">
        <v>1</v>
      </c>
      <c r="J6" s="5" t="str" cm="1">
        <f t="array" ref="J6">"[" &amp; _xlfn.TEXTJOIN(",",FALSE,_xlfn._xlws.FILTER(NextSteps[Serialized],NextSteps[Owner_ID]=Employees[[#This Row],[ID]])) &amp; "]"</f>
        <v>[{"priority": "Medium","status": "In Progress","id": "T005","description": "Build sales metrics dashboard and initial visualizations","dateDue": "2026-04-20","notes": "Data sources: CRM and data warehouse"}]</v>
      </c>
      <c r="K6" s="13" t="str">
        <f>""</f>
        <v/>
      </c>
    </row>
    <row r="7" spans="1:11" ht="15.75" thickBot="1" x14ac:dyDescent="0.3">
      <c r="A7" s="4" t="s">
        <v>37</v>
      </c>
      <c r="B7" s="5" t="s">
        <v>38</v>
      </c>
      <c r="C7" s="5" t="s">
        <v>39</v>
      </c>
      <c r="D7" s="5" t="s">
        <v>40</v>
      </c>
      <c r="E7" s="5" t="s">
        <v>41</v>
      </c>
      <c r="F7" s="5" t="s">
        <v>42</v>
      </c>
      <c r="G7" s="6">
        <v>43008</v>
      </c>
      <c r="H7" s="5">
        <v>63000</v>
      </c>
      <c r="I7" s="7" t="b">
        <v>1</v>
      </c>
      <c r="J7" s="5" t="str" cm="1">
        <f t="array" ref="J7">"[" &amp; _xlfn.TEXTJOIN(",",FALSE,_xlfn._xlws.FILTER(NextSteps[Serialized],NextSteps[Owner_ID]=Employees[[#This Row],[ID]])) &amp; "]"</f>
        <v>[{"priority": "Low","status": "Not Started","id": "T006","description": "Update PTO and remote work sections in employee handbook","dateDue": "2026-04-25","notes": "Legal review may be required"},{"priority": "Low","status": "Not Started","id": "T016","description": "Run benefits enrollment Q&amp;A session for employees","dateDue": "2026-04-19","notes": "Create FAQ doc and slide deck"}]</v>
      </c>
      <c r="K7" s="13" t="str">
        <f>""</f>
        <v/>
      </c>
    </row>
    <row r="8" spans="1:11" ht="15.75" thickBot="1" x14ac:dyDescent="0.3">
      <c r="A8" s="4" t="s">
        <v>43</v>
      </c>
      <c r="B8" s="5" t="s">
        <v>44</v>
      </c>
      <c r="C8" s="5" t="s">
        <v>45</v>
      </c>
      <c r="D8" s="5" t="s">
        <v>46</v>
      </c>
      <c r="E8" s="5" t="s">
        <v>47</v>
      </c>
      <c r="F8" s="5" t="s">
        <v>48</v>
      </c>
      <c r="G8" s="6">
        <v>44970</v>
      </c>
      <c r="H8" s="5">
        <v>70000</v>
      </c>
      <c r="I8" s="7" t="b">
        <v>1</v>
      </c>
      <c r="J8" s="5" t="str" cm="1">
        <f t="array" ref="J8">"[" &amp; _xlfn.TEXTJOIN(",",FALSE,_xlfn._xlws.FILTER(NextSteps[Serialized],NextSteps[Owner_ID]=Employees[[#This Row],[ID]])) &amp; "]"</f>
        <v>[{"priority": "Medium","status": "In Progress","id": "T007","description": "Deliver new onboarding UX flows and usability findings","dateDue": "2026-04-18","notes": "Usability tests scheduled next week"},{"priority": "Medium","status": "Not Started","id": "T017","description": "Create component library for common UI patterns","dateDue": "2026-05-05","notes": "Start with buttons, forms, and modals"}]</v>
      </c>
      <c r="K8" s="13" t="str">
        <f>""</f>
        <v/>
      </c>
    </row>
    <row r="9" spans="1:11" ht="15.75" thickBot="1" x14ac:dyDescent="0.3">
      <c r="A9" s="4" t="s">
        <v>49</v>
      </c>
      <c r="B9" s="5" t="s">
        <v>50</v>
      </c>
      <c r="C9" s="5" t="s">
        <v>51</v>
      </c>
      <c r="D9" s="5" t="s">
        <v>52</v>
      </c>
      <c r="E9" s="5" t="s">
        <v>53</v>
      </c>
      <c r="F9" s="5" t="s">
        <v>54</v>
      </c>
      <c r="G9" s="6">
        <v>44044</v>
      </c>
      <c r="H9" s="5">
        <v>55000</v>
      </c>
      <c r="I9" s="7" t="b">
        <v>1</v>
      </c>
      <c r="J9" s="5" t="str" cm="1">
        <f t="array" ref="J9">"[" &amp; _xlfn.TEXTJOIN(",",FALSE,_xlfn._xlws.FILTER(NextSteps[Serialized],NextSteps[Owner_ID]=Employees[[#This Row],[ID]])) &amp; "]"</f>
        <v>[{"priority": "High","status": "Not Started","id": "T008","description": "Reach out to churned customers with feedback survey","dateDue": "2026-04-12","notes": "Use standardized survey script; offer incentives"}]</v>
      </c>
      <c r="K9" s="13" t="str">
        <f>""</f>
        <v/>
      </c>
    </row>
    <row r="10" spans="1:11" ht="15.75" thickBot="1" x14ac:dyDescent="0.3">
      <c r="A10" s="4" t="s">
        <v>55</v>
      </c>
      <c r="B10" s="5" t="s">
        <v>56</v>
      </c>
      <c r="C10" s="5" t="s">
        <v>57</v>
      </c>
      <c r="D10" s="5" t="s">
        <v>58</v>
      </c>
      <c r="E10" s="5" t="s">
        <v>59</v>
      </c>
      <c r="F10" s="5" t="s">
        <v>60</v>
      </c>
      <c r="G10" s="6">
        <v>42541</v>
      </c>
      <c r="H10" s="5">
        <v>65000</v>
      </c>
      <c r="I10" s="7" t="b">
        <v>1</v>
      </c>
      <c r="J10" s="5" t="str" cm="1">
        <f t="array" ref="J10">"[" &amp; _xlfn.TEXTJOIN(",",FALSE,_xlfn._xlws.FILTER(NextSteps[Serialized],NextSteps[Owner_ID]=Employees[[#This Row],[ID]])) &amp; "]"</f>
        <v>[{"priority": "Medium","status": "In Progress","id": "T009","description": "Publish API documentation v2 after engineering review","dateDue": "2026-04-22","notes": "Ensure code samples are up to date"},{"priority": "Medium","status": "In Progress","id": "T019","description": "Add code snippets for common SDK use-cases to docs","dateDue": "2026-04-13","notes": "Languages: Python, JavaScript, Java"}]</v>
      </c>
      <c r="K10" s="13" t="str">
        <f>""</f>
        <v/>
      </c>
    </row>
    <row r="11" spans="1:11" x14ac:dyDescent="0.25">
      <c r="A11" s="8" t="s">
        <v>61</v>
      </c>
      <c r="B11" s="9" t="s">
        <v>62</v>
      </c>
      <c r="C11" s="9" t="s">
        <v>63</v>
      </c>
      <c r="D11" s="9" t="s">
        <v>64</v>
      </c>
      <c r="E11" s="9" t="s">
        <v>13</v>
      </c>
      <c r="F11" s="9" t="s">
        <v>65</v>
      </c>
      <c r="G11" s="10">
        <v>45444</v>
      </c>
      <c r="H11" s="9">
        <v>22000</v>
      </c>
      <c r="I11" s="11" t="b">
        <v>0</v>
      </c>
      <c r="J11" s="9" t="str" cm="1">
        <f t="array" ref="J11">"[" &amp; _xlfn.TEXTJOIN(",",FALSE,_xlfn._xlws.FILTER(NextSteps[Serialized],NextSteps[Owner_ID]=Employees[[#This Row],[ID]])) &amp; "]"</f>
        <v>[{"priority": "High","status": "Not Started","id": "T010","description": "Prepare and present internship final project","dateDue": "2026-04-08","notes": "Mentor: E001 (Alice Morgan); slide deck draft due 2026-04-03"}]</v>
      </c>
      <c r="K11" s="13" t="str">
        <f>""</f>
        <v/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0F35-4360-483F-A08B-E724F0AD4156}">
  <sheetPr codeName="shNextSteps"/>
  <dimension ref="A1:I21"/>
  <sheetViews>
    <sheetView workbookViewId="0">
      <selection activeCell="C4" sqref="C4"/>
    </sheetView>
  </sheetViews>
  <sheetFormatPr defaultRowHeight="15" x14ac:dyDescent="0.25"/>
  <cols>
    <col min="1" max="1" width="5.140625" customWidth="1"/>
    <col min="2" max="2" width="11.85546875" customWidth="1"/>
    <col min="3" max="3" width="56.28515625" bestFit="1" customWidth="1"/>
    <col min="4" max="4" width="11.140625" customWidth="1"/>
    <col min="5" max="5" width="9.7109375" customWidth="1"/>
    <col min="6" max="6" width="10.85546875" bestFit="1" customWidth="1"/>
    <col min="7" max="7" width="55.5703125" bestFit="1" customWidth="1"/>
    <col min="8" max="8" width="21.28515625" customWidth="1"/>
    <col min="9" max="9" width="4.140625" bestFit="1" customWidth="1"/>
  </cols>
  <sheetData>
    <row r="1" spans="1:9" ht="15.75" thickBot="1" x14ac:dyDescent="0.3">
      <c r="A1" s="1" t="s">
        <v>0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3" t="s">
        <v>71</v>
      </c>
      <c r="H1" s="2" t="s">
        <v>138</v>
      </c>
      <c r="I1" s="2" t="s">
        <v>139</v>
      </c>
    </row>
    <row r="2" spans="1:9" ht="15.75" thickBot="1" x14ac:dyDescent="0.3">
      <c r="A2" s="4" t="s">
        <v>72</v>
      </c>
      <c r="B2" s="5" t="s">
        <v>9</v>
      </c>
      <c r="C2" s="5" t="s">
        <v>73</v>
      </c>
      <c r="D2" s="6">
        <v>46127</v>
      </c>
      <c r="E2" s="5" t="s">
        <v>74</v>
      </c>
      <c r="F2" s="5" t="s">
        <v>75</v>
      </c>
      <c r="G2" s="7" t="s">
        <v>76</v>
      </c>
      <c r="H2" s="12" t="str" cm="1">
        <f t="array" ref="H2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"In Progress","id": "T001","description": "Finalize reliability improvement RFC and schedule rollout","dateDue": "2026-04-15","notes": "Coordinate with infra; include downtime plan"}</v>
      </c>
      <c r="I2" s="13" t="str">
        <f>""</f>
        <v/>
      </c>
    </row>
    <row r="3" spans="1:9" ht="15.75" thickBot="1" x14ac:dyDescent="0.3">
      <c r="A3" s="4" t="s">
        <v>77</v>
      </c>
      <c r="B3" s="5" t="s">
        <v>15</v>
      </c>
      <c r="C3" s="5" t="s">
        <v>78</v>
      </c>
      <c r="D3" s="6">
        <v>46142</v>
      </c>
      <c r="E3" s="5" t="s">
        <v>74</v>
      </c>
      <c r="F3" s="5" t="s">
        <v>79</v>
      </c>
      <c r="G3" s="7" t="s">
        <v>80</v>
      </c>
      <c r="H3" s="5" t="str" cm="1">
        <f t="array" ref="H3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"Not Started","id": "T002","description": "Migrate CI pipelines to new self-hosted runners","dateDue": "2026-04-30","notes": "Need access to new runners and secrets"}</v>
      </c>
      <c r="I3" s="13" t="str">
        <f>""</f>
        <v/>
      </c>
    </row>
    <row r="4" spans="1:9" ht="15.75" thickBot="1" x14ac:dyDescent="0.3">
      <c r="A4" s="4" t="s">
        <v>81</v>
      </c>
      <c r="B4" s="5" t="s">
        <v>20</v>
      </c>
      <c r="C4" s="5" t="s">
        <v>82</v>
      </c>
      <c r="D4" s="6">
        <v>46122</v>
      </c>
      <c r="E4" s="5" t="s">
        <v>74</v>
      </c>
      <c r="F4" s="5" t="s">
        <v>75</v>
      </c>
      <c r="G4" s="7" t="s">
        <v>83</v>
      </c>
      <c r="H4" s="5" t="str" cm="1">
        <f t="array" ref="H4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"In Progress","id": "T003","description": "Finalize and publish Q2 product roadmap","dateDue": "2026-04-10","notes": "Sync with sales and marketing before publish"}</v>
      </c>
      <c r="I4" s="13" t="str">
        <f>""</f>
        <v/>
      </c>
    </row>
    <row r="5" spans="1:9" ht="15.75" thickBot="1" x14ac:dyDescent="0.3">
      <c r="A5" s="4" t="s">
        <v>84</v>
      </c>
      <c r="B5" s="5" t="s">
        <v>26</v>
      </c>
      <c r="C5" s="5" t="s">
        <v>85</v>
      </c>
      <c r="D5" s="6">
        <v>46143</v>
      </c>
      <c r="E5" s="5" t="s">
        <v>86</v>
      </c>
      <c r="F5" s="5" t="s">
        <v>79</v>
      </c>
      <c r="G5" s="7" t="s">
        <v>87</v>
      </c>
      <c r="H5" s="5" t="str" cm="1">
        <f t="array" ref="H5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"T004","description": "Design and implement automated regression pipelines","dateDue": "2026-05-01","notes": "Evaluate Playwright vs pytest for stability"}</v>
      </c>
      <c r="I5" s="13" t="str">
        <f>""</f>
        <v/>
      </c>
    </row>
    <row r="6" spans="1:9" ht="15.75" thickBot="1" x14ac:dyDescent="0.3">
      <c r="A6" s="4" t="s">
        <v>88</v>
      </c>
      <c r="B6" s="5" t="s">
        <v>31</v>
      </c>
      <c r="C6" s="5" t="s">
        <v>89</v>
      </c>
      <c r="D6" s="6">
        <v>46132</v>
      </c>
      <c r="E6" s="5" t="s">
        <v>86</v>
      </c>
      <c r="F6" s="5" t="s">
        <v>75</v>
      </c>
      <c r="G6" s="7" t="s">
        <v>90</v>
      </c>
      <c r="H6" s="5" t="str" cm="1">
        <f t="array" ref="H6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"In Progress","id": "T005","description": "Build sales metrics dashboard and initial visualizations","dateDue": "2026-04-20","notes": "Data sources: CRM and data warehouse"}</v>
      </c>
      <c r="I6" s="13" t="str">
        <f>""</f>
        <v/>
      </c>
    </row>
    <row r="7" spans="1:9" ht="15.75" thickBot="1" x14ac:dyDescent="0.3">
      <c r="A7" s="4" t="s">
        <v>91</v>
      </c>
      <c r="B7" s="5" t="s">
        <v>37</v>
      </c>
      <c r="C7" s="5" t="s">
        <v>92</v>
      </c>
      <c r="D7" s="6">
        <v>46137</v>
      </c>
      <c r="E7" s="5" t="s">
        <v>93</v>
      </c>
      <c r="F7" s="5" t="s">
        <v>79</v>
      </c>
      <c r="G7" s="7" t="s">
        <v>94</v>
      </c>
      <c r="H7" s="5" t="str" cm="1">
        <f t="array" ref="H7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"Low","status": "Not Started","id": "T006","description": "Update PTO and remote work sections in employee handbook","dateDue": "2026-04-25","notes": "Legal review may be required"}</v>
      </c>
      <c r="I7" s="13" t="str">
        <f>""</f>
        <v/>
      </c>
    </row>
    <row r="8" spans="1:9" ht="15.75" thickBot="1" x14ac:dyDescent="0.3">
      <c r="A8" s="4" t="s">
        <v>95</v>
      </c>
      <c r="B8" s="5" t="s">
        <v>43</v>
      </c>
      <c r="C8" s="5" t="s">
        <v>96</v>
      </c>
      <c r="D8" s="6">
        <v>46130</v>
      </c>
      <c r="E8" s="5" t="s">
        <v>86</v>
      </c>
      <c r="F8" s="5" t="s">
        <v>75</v>
      </c>
      <c r="G8" s="7" t="s">
        <v>97</v>
      </c>
      <c r="H8" s="5" t="str" cm="1">
        <f t="array" ref="H8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"In Progress","id": "T007","description": "Deliver new onboarding UX flows and usability findings","dateDue": "2026-04-18","notes": "Usability tests scheduled next week"}</v>
      </c>
      <c r="I8" s="13" t="str">
        <f>""</f>
        <v/>
      </c>
    </row>
    <row r="9" spans="1:9" ht="15.75" thickBot="1" x14ac:dyDescent="0.3">
      <c r="A9" s="4" t="s">
        <v>98</v>
      </c>
      <c r="B9" s="5" t="s">
        <v>49</v>
      </c>
      <c r="C9" s="5" t="s">
        <v>99</v>
      </c>
      <c r="D9" s="6">
        <v>46124</v>
      </c>
      <c r="E9" s="5" t="s">
        <v>74</v>
      </c>
      <c r="F9" s="5" t="s">
        <v>79</v>
      </c>
      <c r="G9" s="7" t="s">
        <v>100</v>
      </c>
      <c r="H9" s="5" t="str" cm="1">
        <f t="array" ref="H9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"Not Started","id": "T008","description": "Reach out to churned customers with feedback survey","dateDue": "2026-04-12","notes": "Use standardized survey script; offer incentives"}</v>
      </c>
      <c r="I9" s="13" t="str">
        <f>""</f>
        <v/>
      </c>
    </row>
    <row r="10" spans="1:9" ht="15.75" thickBot="1" x14ac:dyDescent="0.3">
      <c r="A10" s="4" t="s">
        <v>101</v>
      </c>
      <c r="B10" s="5" t="s">
        <v>55</v>
      </c>
      <c r="C10" s="5" t="s">
        <v>102</v>
      </c>
      <c r="D10" s="6">
        <v>46134</v>
      </c>
      <c r="E10" s="5" t="s">
        <v>86</v>
      </c>
      <c r="F10" s="5" t="s">
        <v>75</v>
      </c>
      <c r="G10" s="7" t="s">
        <v>103</v>
      </c>
      <c r="H10" s="5" t="str" cm="1">
        <f t="array" ref="H10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"In Progress","id": "T009","description": "Publish API documentation v2 after engineering review","dateDue": "2026-04-22","notes": "Ensure code samples are up to date"}</v>
      </c>
      <c r="I10" s="13" t="str">
        <f>""</f>
        <v/>
      </c>
    </row>
    <row r="11" spans="1:9" ht="15.75" thickBot="1" x14ac:dyDescent="0.3">
      <c r="A11" s="4" t="s">
        <v>104</v>
      </c>
      <c r="B11" s="5" t="s">
        <v>61</v>
      </c>
      <c r="C11" s="5" t="s">
        <v>105</v>
      </c>
      <c r="D11" s="6">
        <v>46120</v>
      </c>
      <c r="E11" s="5" t="s">
        <v>74</v>
      </c>
      <c r="F11" s="5" t="s">
        <v>79</v>
      </c>
      <c r="G11" s="7" t="s">
        <v>106</v>
      </c>
      <c r="H11" s="5" t="str" cm="1">
        <f t="array" ref="H11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"Not Started","id": "T010","description": "Prepare and present internship final project","dateDue": "2026-04-08","notes": "Mentor: E001 (Alice Morgan); slide deck draft due 2026-04-03"}</v>
      </c>
      <c r="I11" s="13" t="str">
        <f>""</f>
        <v/>
      </c>
    </row>
    <row r="12" spans="1:9" ht="15.75" thickBot="1" x14ac:dyDescent="0.3">
      <c r="A12" s="4" t="s">
        <v>107</v>
      </c>
      <c r="B12" s="5" t="s">
        <v>9</v>
      </c>
      <c r="C12" s="5" t="s">
        <v>108</v>
      </c>
      <c r="D12" s="6">
        <v>46119</v>
      </c>
      <c r="E12" s="5" t="s">
        <v>74</v>
      </c>
      <c r="F12" s="5" t="s">
        <v>79</v>
      </c>
      <c r="G12" s="7" t="s">
        <v>109</v>
      </c>
      <c r="H12" s="5" t="str" cm="1">
        <f t="array" ref="H12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"Not Started","id": "T011","description": "Run on-call postmortem for recent outage and publish TL;DR","dateDue": "2026-04-07","notes": "Invite incident responders; include timeline and action items"}</v>
      </c>
      <c r="I12" s="13" t="str">
        <f>""</f>
        <v/>
      </c>
    </row>
    <row r="13" spans="1:9" ht="15.75" thickBot="1" x14ac:dyDescent="0.3">
      <c r="A13" s="4" t="s">
        <v>110</v>
      </c>
      <c r="B13" s="5" t="s">
        <v>15</v>
      </c>
      <c r="C13" s="5" t="s">
        <v>111</v>
      </c>
      <c r="D13" s="6">
        <v>46133</v>
      </c>
      <c r="E13" s="5" t="s">
        <v>74</v>
      </c>
      <c r="F13" s="5" t="s">
        <v>79</v>
      </c>
      <c r="G13" s="7" t="s">
        <v>112</v>
      </c>
      <c r="H13" s="5" t="str" cm="1">
        <f t="array" ref="H13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"Not Started","id": "T012","description": "Harden CI security: rotate secrets and add ephemeral tokens","dateDue": "2026-04-21","notes": "Coordinate with security team for approvals"}</v>
      </c>
      <c r="I13" s="13" t="str">
        <f>""</f>
        <v/>
      </c>
    </row>
    <row r="14" spans="1:9" ht="15.75" thickBot="1" x14ac:dyDescent="0.3">
      <c r="A14" s="4" t="s">
        <v>113</v>
      </c>
      <c r="B14" s="5" t="s">
        <v>9</v>
      </c>
      <c r="C14" s="5" t="s">
        <v>114</v>
      </c>
      <c r="D14" s="6">
        <v>46126</v>
      </c>
      <c r="E14" s="5" t="s">
        <v>86</v>
      </c>
      <c r="F14" s="5" t="s">
        <v>79</v>
      </c>
      <c r="G14" s="7" t="s">
        <v>115</v>
      </c>
      <c r="H14" s="5" t="str" cm="1">
        <f t="array" ref="H14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"T013","description": "Conduct stakeholder workshop for feature prioritization","dateDue": "2026-04-14","notes": "Prepare prioritization matrix and materials"}</v>
      </c>
      <c r="I14" s="13" t="str">
        <f>""</f>
        <v/>
      </c>
    </row>
    <row r="15" spans="1:9" ht="15.75" thickBot="1" x14ac:dyDescent="0.3">
      <c r="A15" s="4" t="s">
        <v>116</v>
      </c>
      <c r="B15" s="5" t="s">
        <v>20</v>
      </c>
      <c r="C15" s="5" t="s">
        <v>117</v>
      </c>
      <c r="D15" s="6">
        <v>46140</v>
      </c>
      <c r="E15" s="5" t="s">
        <v>86</v>
      </c>
      <c r="F15" s="5" t="s">
        <v>79</v>
      </c>
      <c r="G15" s="7" t="s">
        <v>118</v>
      </c>
      <c r="H15" s="5" t="str" cm="1">
        <f t="array" ref="H15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"T014","description": "Add flaky test detection and quarantine mechanism","dateDue": "2026-04-28","notes": "Tag tests and notify owners automatically"}</v>
      </c>
      <c r="I15" s="13" t="str">
        <f>""</f>
        <v/>
      </c>
    </row>
    <row r="16" spans="1:9" ht="15.75" thickBot="1" x14ac:dyDescent="0.3">
      <c r="A16" s="4" t="s">
        <v>119</v>
      </c>
      <c r="B16" s="5" t="s">
        <v>9</v>
      </c>
      <c r="C16" s="5" t="s">
        <v>120</v>
      </c>
      <c r="D16" s="6">
        <v>46128</v>
      </c>
      <c r="E16" s="5" t="s">
        <v>74</v>
      </c>
      <c r="F16" s="5" t="s">
        <v>75</v>
      </c>
      <c r="G16" s="7" t="s">
        <v>121</v>
      </c>
      <c r="H16" s="5" t="str" cm="1">
        <f t="array" ref="H16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"High","status": "In Progress","id": "T015","description": "Validate ETL pipeline freshness and set SLA alerts","dateDue": "2026-04-16","notes": "Implement threshold-based alerts in monitoring"}</v>
      </c>
      <c r="I16" s="13" t="str">
        <f>""</f>
        <v/>
      </c>
    </row>
    <row r="17" spans="1:9" ht="15.75" thickBot="1" x14ac:dyDescent="0.3">
      <c r="A17" s="4" t="s">
        <v>122</v>
      </c>
      <c r="B17" s="5" t="s">
        <v>37</v>
      </c>
      <c r="C17" s="5" t="s">
        <v>123</v>
      </c>
      <c r="D17" s="6">
        <v>46131</v>
      </c>
      <c r="E17" s="5" t="s">
        <v>93</v>
      </c>
      <c r="F17" s="5" t="s">
        <v>79</v>
      </c>
      <c r="G17" s="7" t="s">
        <v>124</v>
      </c>
      <c r="H17" s="5" t="str" cm="1">
        <f t="array" ref="H17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"Low","status": "Not Started","id": "T016","description": "Run benefits enrollment Q&amp;A session for employees","dateDue": "2026-04-19","notes": "Create FAQ doc and slide deck"}</v>
      </c>
      <c r="I17" s="13" t="str">
        <f>""</f>
        <v/>
      </c>
    </row>
    <row r="18" spans="1:9" ht="15.75" thickBot="1" x14ac:dyDescent="0.3">
      <c r="A18" s="4" t="s">
        <v>125</v>
      </c>
      <c r="B18" s="5" t="s">
        <v>43</v>
      </c>
      <c r="C18" s="5" t="s">
        <v>126</v>
      </c>
      <c r="D18" s="6">
        <v>46147</v>
      </c>
      <c r="E18" s="5" t="s">
        <v>86</v>
      </c>
      <c r="F18" s="5" t="s">
        <v>79</v>
      </c>
      <c r="G18" s="7" t="s">
        <v>127</v>
      </c>
      <c r="H18" s="5" t="str" cm="1">
        <f t="array" ref="H18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"T017","description": "Create component library for common UI patterns","dateDue": "2026-05-05","notes": "Start with buttons, forms, and modals"}</v>
      </c>
      <c r="I18" s="13" t="str">
        <f>""</f>
        <v/>
      </c>
    </row>
    <row r="19" spans="1:9" ht="15.75" thickBot="1" x14ac:dyDescent="0.3">
      <c r="A19" s="4" t="s">
        <v>128</v>
      </c>
      <c r="B19" s="5" t="s">
        <v>26</v>
      </c>
      <c r="C19" s="5" t="s">
        <v>129</v>
      </c>
      <c r="D19" s="6">
        <v>46138</v>
      </c>
      <c r="E19" s="5" t="s">
        <v>86</v>
      </c>
      <c r="F19" s="5" t="s">
        <v>79</v>
      </c>
      <c r="G19" s="7" t="s">
        <v>130</v>
      </c>
      <c r="H19" s="5" t="str" cm="1">
        <f t="array" ref="H19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"T018","description": "Build onboarding drip email sequence for new customers","dateDue": "2026-04-26","notes": "Coordinate content with marketing"}</v>
      </c>
      <c r="I19" s="13" t="str">
        <f>""</f>
        <v/>
      </c>
    </row>
    <row r="20" spans="1:9" ht="15.75" thickBot="1" x14ac:dyDescent="0.3">
      <c r="A20" s="4" t="s">
        <v>131</v>
      </c>
      <c r="B20" s="5" t="s">
        <v>55</v>
      </c>
      <c r="C20" s="5" t="s">
        <v>132</v>
      </c>
      <c r="D20" s="6">
        <v>46125</v>
      </c>
      <c r="E20" s="5" t="s">
        <v>86</v>
      </c>
      <c r="F20" s="5" t="s">
        <v>75</v>
      </c>
      <c r="G20" s="7" t="s">
        <v>133</v>
      </c>
      <c r="H20" s="5" t="str" cm="1">
        <f t="array" ref="H20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"In Progress","id": "T019","description": "Add code snippets for common SDK use-cases to docs","dateDue": "2026-04-13","notes": "Languages: Python, JavaScript, Java"}</v>
      </c>
      <c r="I20" s="13" t="str">
        <f>""</f>
        <v/>
      </c>
    </row>
    <row r="21" spans="1:9" x14ac:dyDescent="0.25">
      <c r="A21" s="8" t="s">
        <v>134</v>
      </c>
      <c r="B21" s="9" t="s">
        <v>15</v>
      </c>
      <c r="C21" s="9" t="s">
        <v>135</v>
      </c>
      <c r="D21" s="10">
        <v>46141</v>
      </c>
      <c r="E21" s="9" t="s">
        <v>86</v>
      </c>
      <c r="F21" s="9" t="s">
        <v>79</v>
      </c>
      <c r="G21" s="11" t="s">
        <v>136</v>
      </c>
      <c r="H21" s="9" t="str" cm="1">
        <f t="array" ref="H21">udfBuildJSONObject("priority",NextSteps[[#This Row],[Priority]],"status",NextSteps[[#This Row],[Status]],"id",NextSteps[[#This Row],[ID]],"description",NextSteps[[#This Row],[NextStep]],"dateDue",TEXT(NextSteps[[#This Row],[DueDate]],"yyyy-mm-dd"),"notes",NextSteps[[#This Row],[Notes]])</f>
        <v>{"priority": "Medium","status": "Not Started","id": "T020","description": "Benchmark CI job durations and optimize slow steps","dateDue": "2026-04-29","notes": "Collect historical job data and propose caching"}</v>
      </c>
      <c r="I21" s="13" t="str">
        <f>""</f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Employees</vt:lpstr>
      <vt:lpstr>NextSteps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2026-04-02T08:09:48Z</dcterms:created>
  <dcterms:modified xsi:type="dcterms:W3CDTF">2026-04-02T09:38:25Z</dcterms:modified>
</cp:coreProperties>
</file>