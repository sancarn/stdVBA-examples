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ohn\source\repos\stdVBA-examples\Examples\stdTable\"/>
    </mc:Choice>
  </mc:AlternateContent>
  <xr:revisionPtr revIDLastSave="0" documentId="13_ncr:1_{D6238F7D-431C-4014-AEA7-EB28EC27254E}" xr6:coauthVersionLast="47" xr6:coauthVersionMax="47" xr10:uidLastSave="{00000000-0000-0000-0000-000000000000}"/>
  <bookViews>
    <workbookView xWindow="-108" yWindow="-108" windowWidth="23256" windowHeight="12576" xr2:uid="{A48DB9B3-BFF0-43F0-BE1C-E020C6342949}"/>
  </bookViews>
  <sheets>
    <sheet name="Data in" sheetId="1" r:id="rId1"/>
    <sheet name="VBA" sheetId="3" r:id="rId2"/>
    <sheet name="PowerQuery" sheetId="4" r:id="rId3"/>
    <sheet name="PivotTable" sheetId="5" r:id="rId4"/>
  </sheets>
  <functionGroups builtInGroupCount="19"/>
  <definedNames>
    <definedName name="ExternalData_1" localSheetId="2" hidden="1">PowerQuery!$A$1:$C$4</definedName>
  </definedNames>
  <calcPr calcId="191029"/>
  <pivotCaches>
    <pivotCache cacheId="3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A1007DC-6AB6-4980-B687-A0F84B0AFD42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<sst xmlns="http://schemas.openxmlformats.org/spreadsheetml/2006/main" count="172" uniqueCount="92">
  <si>
    <t>BVRG201001</t>
  </si>
  <si>
    <t>tubes</t>
  </si>
  <si>
    <t>3.18.2.1.7</t>
  </si>
  <si>
    <t>Paragon MGVS20</t>
  </si>
  <si>
    <t>[Ing2]</t>
  </si>
  <si>
    <t>[Ing3]</t>
  </si>
  <si>
    <t>Sartstedt 05.1729.001</t>
  </si>
  <si>
    <t>1.9 and 2.1</t>
  </si>
  <si>
    <t>BVRG201002</t>
  </si>
  <si>
    <t>3.18.2.1.8</t>
  </si>
  <si>
    <t>Paragon MGVS12</t>
  </si>
  <si>
    <t>1.14 and 1.26</t>
  </si>
  <si>
    <t>BVRG201004</t>
  </si>
  <si>
    <t>3.18.2.1.5</t>
  </si>
  <si>
    <t>Check Calibrant</t>
  </si>
  <si>
    <t>1.52 and 1.68</t>
  </si>
  <si>
    <t>BVRG201005</t>
  </si>
  <si>
    <t>3.18.2.1.6</t>
  </si>
  <si>
    <t>Control 2.5</t>
  </si>
  <si>
    <t>2.37 and 2.62</t>
  </si>
  <si>
    <t>BVRG201006</t>
  </si>
  <si>
    <t>Control 4</t>
  </si>
  <si>
    <t>3.8 and 4.2</t>
  </si>
  <si>
    <t>BVRG201010</t>
  </si>
  <si>
    <t>bottles</t>
  </si>
  <si>
    <t>3.18.2.1.11</t>
  </si>
  <si>
    <t>Chemgene HLD4L</t>
  </si>
  <si>
    <t>Polysorbate 20</t>
  </si>
  <si>
    <t>De-ionised Water</t>
  </si>
  <si>
    <t>2.5 Ltr Bottle</t>
  </si>
  <si>
    <t>XX and XX</t>
  </si>
  <si>
    <t>BVRG201015</t>
  </si>
  <si>
    <t>3.18.2.1.1</t>
  </si>
  <si>
    <t>Chemgene HLD4H</t>
  </si>
  <si>
    <t>7ml Bijou Tube</t>
  </si>
  <si>
    <t>BVRG201008</t>
  </si>
  <si>
    <t>3.18.2.1.3</t>
  </si>
  <si>
    <t>Reprozyme</t>
  </si>
  <si>
    <t>30ml Bottle</t>
  </si>
  <si>
    <t>3.18.2.1.2</t>
  </si>
  <si>
    <t>BVRG201501</t>
  </si>
  <si>
    <t>3.18.1.1.8</t>
  </si>
  <si>
    <t>1.5ml Clear Tube</t>
  </si>
  <si>
    <t>BVRG201502</t>
  </si>
  <si>
    <t>3.18.1.1.9</t>
  </si>
  <si>
    <t>BVRG201503</t>
  </si>
  <si>
    <t>3.18.1.1.6</t>
  </si>
  <si>
    <t>BVRG201509</t>
  </si>
  <si>
    <t>3.18.1.1.5</t>
  </si>
  <si>
    <t>1.5ml Red Tube</t>
  </si>
  <si>
    <t>BVRG201507</t>
  </si>
  <si>
    <t>3.18.1.1.4</t>
  </si>
  <si>
    <t>Reprozyme Concentrate</t>
  </si>
  <si>
    <t>1.5ml Yellow Tube</t>
  </si>
  <si>
    <t>1.5ml Blue Tube</t>
  </si>
  <si>
    <t>BVRG201506</t>
  </si>
  <si>
    <t>packs</t>
  </si>
  <si>
    <t>3.18.1.1.10.1</t>
  </si>
  <si>
    <t>[ItemType]</t>
  </si>
  <si>
    <t>[TubeType]</t>
  </si>
  <si>
    <t>TRUE5</t>
  </si>
  <si>
    <t>Count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</si>
  <si>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</si>
  <si>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</si>
  <si>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</si>
  <si>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</si>
  <si>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</si>
  <si>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</si>
  <si>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</si>
  <si>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</si>
  <si>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</si>
  <si>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</si>
  <si>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</si>
  <si>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</si>
  <si>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</si>
  <si>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</si>
  <si>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</si>
  <si>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</si>
  <si>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</si>
  <si>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</si>
  <si>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</si>
  <si>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</si>
  <si>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</si>
  <si>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</si>
  <si>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</si>
  <si>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</si>
  <si>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</si>
  <si>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Type</t>
  </si>
  <si>
    <t>Sum5</t>
  </si>
  <si>
    <t>Row Labels</t>
  </si>
  <si>
    <t>Sum of 5</t>
  </si>
  <si>
    <t>Count of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</si>
</sst>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/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7</xdr:col>
      <xdr:colOff>0</xdr:colOff>
      <xdr:row>4</xdr:row>
      <xdr:rowOff>152400</xdr:rowOff>
    </xdr:to>
    <xdr:sp macro="[0]!main2" textlink="">
      <xdr:nvSpPr>
        <xdr:cNvPr id="2" name="Rectangle 1">
          <a:extLst>
            <a:ext uri="{FF2B5EF4-FFF2-40B4-BE49-F238E27FC236}">
              <a16:creationId xmlns:a16="http://schemas.microsoft.com/office/drawing/2014/main" id="{C7131284-6BA6-4E2C-83F3-FDE8CCB2B0AC}"/>
            </a:ext>
          </a:extLst>
        </xdr:cNvPr>
        <xdr:cNvSpPr/>
      </xdr:nvSpPr>
      <xdr:spPr>
        <a:xfrm>
          <a:off x="2438400" y="190500"/>
          <a:ext cx="1828800" cy="7239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/>
            <a:t>Execute data pipeline macro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hn" refreshedDate="46256.590611458334" createdVersion="8" refreshedVersion="8" minRefreshableVersion="3" recordCount="16" xr:uid="{6B0C486B-9A82-4102-9FF6-892AED12CCAB}">
  <cacheSource type="worksheet">
    <worksheetSource name="Table1"/>
  </cacheSource>
  <cacheFields count="25">
    <cacheField name="1" numFmtId="0">
      <sharedItems/>
    </cacheField>
    <cacheField name="2" numFmtId="0">
      <sharedItems count="3">
        <s v="tubes"/>
        <s v="bottles"/>
        <s v="packs"/>
      </sharedItems>
    </cacheField>
    <cacheField name="3" numFmtId="0">
      <sharedItems/>
    </cacheField>
    <cacheField name="4" numFmtId="0">
      <sharedItems/>
    </cacheField>
    <cacheField name="5" numFmtId="0">
      <sharedItems containsSemiMixedTypes="0" containsString="0" containsNumber="1" minValue="0.5" maxValue="1800"/>
    </cacheField>
    <cacheField name="6" numFmtId="0">
      <sharedItems/>
    </cacheField>
    <cacheField name="7" numFmtId="0">
      <sharedItems/>
    </cacheField>
    <cacheField name="8" numFmtId="0">
      <sharedItems/>
    </cacheField>
    <cacheField name="9" numFmtId="0">
      <sharedItems/>
    </cacheField>
    <cacheField name="10" numFmtId="0">
      <sharedItems/>
    </cacheField>
    <cacheField name="11" numFmtId="0">
      <sharedItems/>
    </cacheField>
    <cacheField name="12" numFmtId="0">
      <sharedItems/>
    </cacheField>
    <cacheField name="13" numFmtId="0">
      <sharedItems/>
    </cacheField>
    <cacheField name="14" numFmtId="0">
      <sharedItems/>
    </cacheField>
    <cacheField name="15" numFmtId="0">
      <sharedItems/>
    </cacheField>
    <cacheField name="16" numFmtId="0">
      <sharedItems/>
    </cacheField>
    <cacheField name="17" numFmtId="0">
      <sharedItems/>
    </cacheField>
    <cacheField name="18" numFmtId="0">
      <sharedItems/>
    </cacheField>
    <cacheField name="19" numFmtId="0">
      <sharedItems/>
    </cacheField>
    <cacheField name="20" numFmtId="0">
      <sharedItems/>
    </cacheField>
    <cacheField name="21" numFmtId="0">
      <sharedItems/>
    </cacheField>
    <cacheField name="22" numFmtId="0">
      <sharedItems/>
    </cacheField>
    <cacheField name="23" numFmtId="0">
      <sharedItems/>
    </cacheField>
    <cacheField name="24" numFmtId="0">
      <sharedItems/>
    </cacheField>
    <cacheField name="25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s v="BVRG201001"/>
    <x v="0"/>
    <s v="3.18.2.1.7"/>
    <b v="0"/>
    <n v="1.35"/>
    <b v="0"/>
    <b v="1"/>
    <b v="0"/>
    <s v="Paragon MGVS20"/>
    <b v="1"/>
    <s v="[Ing2]"/>
    <s v="TRUE5"/>
    <s v="[Ing3]"/>
    <b v="0"/>
    <s v="Sartstedt 05.1729.001"/>
    <b v="1"/>
    <b v="1"/>
    <b v="1"/>
    <b v="1"/>
    <b v="1"/>
    <b v="1"/>
    <b v="1"/>
    <b v="0"/>
    <b v="0"/>
    <s v="1.9 and 2.1"/>
  </r>
  <r>
    <s v="BVRG201002"/>
    <x v="0"/>
    <s v="3.18.2.1.8"/>
    <b v="0"/>
    <n v="1.35"/>
    <b v="0"/>
    <b v="1"/>
    <b v="0"/>
    <s v="Paragon MGVS12"/>
    <b v="1"/>
    <s v="[Ing2]"/>
    <b v="1"/>
    <s v="[Ing3]"/>
    <b v="0"/>
    <s v="Sartstedt 05.1729.001"/>
    <b v="1"/>
    <b v="1"/>
    <b v="1"/>
    <b v="1"/>
    <b v="1"/>
    <b v="1"/>
    <b v="1"/>
    <b v="0"/>
    <b v="0"/>
    <s v="1.14 and 1.26"/>
  </r>
  <r>
    <s v="BVRG201004"/>
    <x v="0"/>
    <s v="3.18.2.1.5"/>
    <b v="0"/>
    <n v="2.7"/>
    <b v="0"/>
    <b v="1"/>
    <b v="0"/>
    <s v="Check Calibrant"/>
    <b v="1"/>
    <s v="[Ing2]"/>
    <b v="1"/>
    <s v="[Ing3]"/>
    <b v="0"/>
    <s v="Sartstedt 05.1729.001"/>
    <b v="1"/>
    <b v="1"/>
    <b v="1"/>
    <b v="1"/>
    <b v="1"/>
    <b v="1"/>
    <b v="1"/>
    <b v="0"/>
    <b v="0"/>
    <s v="1.52 and 1.68"/>
  </r>
  <r>
    <s v="BVRG201005"/>
    <x v="0"/>
    <s v="3.18.2.1.6"/>
    <b v="0"/>
    <n v="1.35"/>
    <b v="0"/>
    <b v="1"/>
    <b v="0"/>
    <s v="Control 2.5"/>
    <b v="1"/>
    <s v="[Ing2]"/>
    <b v="1"/>
    <s v="[Ing3]"/>
    <b v="0"/>
    <s v="Sartstedt 05.1729.001"/>
    <b v="1"/>
    <b v="1"/>
    <b v="1"/>
    <b v="1"/>
    <b v="1"/>
    <b v="1"/>
    <b v="1"/>
    <b v="0"/>
    <b v="0"/>
    <s v="2.37 and 2.62"/>
  </r>
  <r>
    <s v="BVRG201006"/>
    <x v="0"/>
    <s v="3.18.2.1.6"/>
    <b v="0"/>
    <n v="1.35"/>
    <b v="0"/>
    <b v="1"/>
    <b v="0"/>
    <s v="Control 4"/>
    <b v="1"/>
    <s v="[Ing2]"/>
    <b v="1"/>
    <s v="[Ing3]"/>
    <b v="0"/>
    <s v="Sartstedt 05.1729.001"/>
    <b v="1"/>
    <b v="1"/>
    <b v="1"/>
    <b v="1"/>
    <b v="1"/>
    <b v="1"/>
    <b v="1"/>
    <b v="0"/>
    <b v="0"/>
    <s v="3.8 and 4.2"/>
  </r>
  <r>
    <s v="BVRG201010"/>
    <x v="1"/>
    <s v="3.18.2.1.11"/>
    <b v="0"/>
    <n v="1800"/>
    <b v="0"/>
    <b v="1"/>
    <b v="0"/>
    <s v="Chemgene HLD4L"/>
    <b v="0"/>
    <s v="Polysorbate 20"/>
    <b v="0"/>
    <s v="De-ionised Water"/>
    <b v="0"/>
    <s v="2.5 Ltr Bottle"/>
    <b v="1"/>
    <b v="1"/>
    <b v="1"/>
    <b v="1"/>
    <b v="1"/>
    <b v="1"/>
    <b v="1"/>
    <b v="0"/>
    <b v="1"/>
    <s v="XX and XX"/>
  </r>
  <r>
    <s v="BVRG201015"/>
    <x v="0"/>
    <s v="3.18.2.1.1"/>
    <b v="0"/>
    <n v="7"/>
    <b v="0"/>
    <b v="1"/>
    <b v="0"/>
    <s v="Chemgene HLD4H"/>
    <b v="1"/>
    <s v="[Ing2]"/>
    <b v="1"/>
    <s v="[Ing3]"/>
    <b v="0"/>
    <s v="7ml Bijou Tube"/>
    <b v="1"/>
    <b v="1"/>
    <b v="1"/>
    <b v="1"/>
    <b v="1"/>
    <b v="1"/>
    <b v="1"/>
    <b v="0"/>
    <b v="1"/>
    <s v="XX and XX"/>
  </r>
  <r>
    <s v="BVRG201008"/>
    <x v="1"/>
    <s v="3.18.2.1.3"/>
    <b v="0"/>
    <n v="30"/>
    <b v="0"/>
    <b v="1"/>
    <b v="0"/>
    <s v="Reprozyme"/>
    <b v="1"/>
    <s v="[Ing2]"/>
    <b v="1"/>
    <s v="[Ing3]"/>
    <b v="0"/>
    <s v="30ml Bottle"/>
    <b v="1"/>
    <b v="1"/>
    <b v="1"/>
    <b v="1"/>
    <b v="1"/>
    <b v="1"/>
    <b v="1"/>
    <b v="0"/>
    <b v="1"/>
    <s v="XX and XX"/>
  </r>
  <r>
    <s v="BVRG201008"/>
    <x v="1"/>
    <s v="3.18.2.1.2"/>
    <b v="0"/>
    <n v="30"/>
    <b v="0"/>
    <b v="1"/>
    <b v="0"/>
    <s v="Chemgene HLD4L"/>
    <b v="1"/>
    <s v="[Ing2]"/>
    <b v="1"/>
    <s v="[Ing3]"/>
    <b v="0"/>
    <s v="30ml Bottle"/>
    <b v="1"/>
    <b v="1"/>
    <b v="1"/>
    <b v="1"/>
    <b v="1"/>
    <b v="1"/>
    <b v="1"/>
    <b v="0"/>
    <b v="1"/>
    <s v="XX and XX"/>
  </r>
  <r>
    <s v="BVRG201501"/>
    <x v="0"/>
    <s v="3.18.1.1.8"/>
    <b v="0"/>
    <n v="0.5"/>
    <b v="0"/>
    <b v="1"/>
    <b v="0"/>
    <s v="Paragon MGVS20"/>
    <b v="1"/>
    <s v="[Ing2]"/>
    <b v="1"/>
    <s v="[Ing3]"/>
    <b v="0"/>
    <s v="1.5ml Clear Tube"/>
    <b v="1"/>
    <b v="1"/>
    <b v="1"/>
    <b v="1"/>
    <b v="1"/>
    <b v="1"/>
    <b v="1"/>
    <b v="0"/>
    <b v="0"/>
    <s v="1.9 and 2.1"/>
  </r>
  <r>
    <s v="BVRG201502"/>
    <x v="0"/>
    <s v="3.18.1.1.9"/>
    <b v="0"/>
    <n v="0.5"/>
    <b v="0"/>
    <b v="1"/>
    <b v="0"/>
    <s v="Paragon MGVS12"/>
    <b v="1"/>
    <s v="[Ing2]"/>
    <b v="1"/>
    <s v="[Ing3]"/>
    <b v="0"/>
    <s v="1.5ml Clear Tube"/>
    <b v="1"/>
    <b v="1"/>
    <b v="1"/>
    <b v="1"/>
    <b v="1"/>
    <b v="1"/>
    <b v="1"/>
    <b v="0"/>
    <b v="0"/>
    <s v="1.14 and 1.26"/>
  </r>
  <r>
    <s v="BVRG201503"/>
    <x v="0"/>
    <s v="3.18.1.1.6"/>
    <b v="0"/>
    <n v="0.5"/>
    <b v="0"/>
    <b v="1"/>
    <b v="0"/>
    <s v="Check Calibrant"/>
    <b v="1"/>
    <s v="[Ing2]"/>
    <b v="1"/>
    <s v="[Ing3]"/>
    <b v="0"/>
    <s v="1.5ml Clear Tube"/>
    <b v="1"/>
    <b v="1"/>
    <b v="1"/>
    <b v="1"/>
    <b v="1"/>
    <b v="1"/>
    <b v="1"/>
    <b v="0"/>
    <b v="0"/>
    <s v="1.52 and 1.68"/>
  </r>
  <r>
    <s v="BVRG201509"/>
    <x v="0"/>
    <s v="3.18.1.1.5"/>
    <b v="0"/>
    <n v="1"/>
    <b v="0"/>
    <b v="0"/>
    <b v="0"/>
    <s v="Chemgene HLD4L"/>
    <b v="0"/>
    <s v="Polysorbate 20"/>
    <b v="0"/>
    <s v="De-ionised Water"/>
    <b v="0"/>
    <s v="1.5ml Red Tube"/>
    <b v="1"/>
    <b v="1"/>
    <b v="1"/>
    <b v="1"/>
    <b v="1"/>
    <b v="1"/>
    <b v="1"/>
    <b v="0"/>
    <b v="1"/>
    <s v="XX and XX"/>
  </r>
  <r>
    <s v="BVRG201507"/>
    <x v="0"/>
    <s v="3.18.1.1.4"/>
    <b v="0"/>
    <n v="1"/>
    <b v="0"/>
    <b v="0"/>
    <b v="0"/>
    <s v="Reprozyme Concentrate"/>
    <b v="0"/>
    <s v="De-ionised Water"/>
    <b v="0"/>
    <s v="Chemgene HLD4H"/>
    <b v="0"/>
    <s v="1.5ml Yellow Tube"/>
    <b v="1"/>
    <b v="1"/>
    <b v="1"/>
    <b v="1"/>
    <b v="1"/>
    <b v="1"/>
    <b v="1"/>
    <b v="0"/>
    <b v="1"/>
    <s v="XX and XX"/>
  </r>
  <r>
    <s v="BVRG201509"/>
    <x v="0"/>
    <s v="3.18.1.1.5"/>
    <b v="0"/>
    <n v="1"/>
    <b v="0"/>
    <b v="0"/>
    <b v="0"/>
    <s v="Chemgene HLD4L"/>
    <b v="0"/>
    <s v="De-ionised Water"/>
    <b v="1"/>
    <s v="[Ing3]"/>
    <b v="0"/>
    <s v="1.5ml Blue Tube"/>
    <b v="1"/>
    <b v="1"/>
    <b v="1"/>
    <b v="1"/>
    <b v="1"/>
    <b v="1"/>
    <b v="1"/>
    <b v="0"/>
    <b v="1"/>
    <s v="XX and XX"/>
  </r>
  <r>
    <s v="BVRG201506"/>
    <x v="2"/>
    <s v="3.18.1.1.10.1"/>
    <b v="1"/>
    <n v="1"/>
    <b v="1"/>
    <b v="1"/>
    <b v="1"/>
    <s v="[ItemType]"/>
    <b v="1"/>
    <s v="[Ing2]"/>
    <b v="1"/>
    <s v="[Ing3]"/>
    <b v="1"/>
    <s v="[TubeType]"/>
    <b v="0"/>
    <b v="1"/>
    <b v="1"/>
    <b v="1"/>
    <b v="1"/>
    <b v="1"/>
    <b v="1"/>
    <b v="1"/>
    <b v="1"/>
    <s v="XX and XX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323939-E401-481C-BF76-F32F17B61B7D}" name="PivotTable1" cacheId="3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A1:C4" firstHeaderRow="0" firstDataRow="1" firstDataCol="1"/>
  <pivotFields count="25">
    <pivotField showAll="0"/>
    <pivotField axis="axisRow" dataField="1" showAll="0">
      <items count="4">
        <item x="1"/>
        <item x="2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>
      <x v="2"/>
    </i>
  </rowItems>
  <colFields count="1">
    <field x="-2"/>
  </colFields>
  <colItems count="2">
    <i>
      <x/>
    </i>
    <i i="1">
      <x v="1"/>
    </i>
  </colItems>
  <dataFields count="2">
    <dataField name="Count of 2" fld="1" subtotal="count" baseField="0" baseItem="0"/>
    <dataField name="Sum of 5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B1773E4-AB18-4CA9-9390-420347A9AABA}" autoFormatId="16" applyNumberFormats="0" applyBorderFormats="0" applyFontFormats="0" applyPatternFormats="0" applyAlignmentFormats="0" applyWidthHeightFormats="0">
  <queryTableRefresh nextId="9">
    <queryTableFields count="3">
      <queryTableField id="5" name="Type" tableColumnId="5"/>
      <queryTableField id="6" name="Count" tableColumnId="6"/>
      <queryTableField id="8" name="Sum5" tableColumnId="8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65A6D6-BBE6-4EF7-9E3A-7C8E1F1301C1}" name="Table1" displayName="Table1" ref="A1:Y17" totalsRowShown="0" headerRowDxfId="27" dataDxfId="26" tableBorderDxfId="25">
  <autoFilter ref="A1:Y17" xr:uid="{2B65A6D6-BBE6-4EF7-9E3A-7C8E1F1301C1}"/>
  <tableColumns count="25">
    <tableColumn id="1" xr3:uid="{21C66540-2EB9-404F-B7E9-CBEB985C6A91}" name="1" dataDxfId="24"/>
    <tableColumn id="2" xr3:uid="{4A3EC0D0-F201-4375-B320-1E077169892B}" name="2" dataDxfId="23"/>
    <tableColumn id="3" xr3:uid="{8C38F26C-299F-4215-8E99-E338B94246A6}" name="3" dataDxfId="22"/>
    <tableColumn id="4" xr3:uid="{682EF1DB-710A-40A5-A653-A4ADDF4A5087}" name="4" dataDxfId="21"/>
    <tableColumn id="5" xr3:uid="{6163D9C6-6FF4-4727-A0CE-1AF2C8BC3E83}" name="5" dataDxfId="20"/>
    <tableColumn id="6" xr3:uid="{20DF59A1-CC14-4E58-B9F2-A551FA81EEE4}" name="6" dataDxfId="19"/>
    <tableColumn id="7" xr3:uid="{DB009D65-13B7-4A31-9C3E-1619962329FD}" name="7" dataDxfId="18"/>
    <tableColumn id="8" xr3:uid="{77EFD009-78E5-438C-BA50-746EA93277E8}" name="8" dataDxfId="17"/>
    <tableColumn id="9" xr3:uid="{F42F11F2-23B0-4C04-B700-E3388C0A025B}" name="9" dataDxfId="16"/>
    <tableColumn id="10" xr3:uid="{4C8E5685-936C-46DF-8BAA-9722770201B0}" name="10" dataDxfId="15"/>
    <tableColumn id="11" xr3:uid="{46D6405D-2114-4354-A677-437FF3D13A1F}" name="11" dataDxfId="14"/>
    <tableColumn id="12" xr3:uid="{584B009D-EE0D-485E-8756-D4F2323588E5}" name="12" dataDxfId="13"/>
    <tableColumn id="13" xr3:uid="{5BFB6E07-1B10-4161-9A3F-E1F86AF178E3}" name="13" dataDxfId="12"/>
    <tableColumn id="14" xr3:uid="{91058513-319B-45FF-B9D8-5FE725A314F6}" name="14" dataDxfId="11"/>
    <tableColumn id="15" xr3:uid="{821C42A2-91DA-4FDB-B932-8B13C5E79DD7}" name="15" dataDxfId="10"/>
    <tableColumn id="16" xr3:uid="{08A96BBA-8833-4688-B97A-4884320BB8BC}" name="16" dataDxfId="9"/>
    <tableColumn id="17" xr3:uid="{09592D90-75DC-498C-AE18-94862D569F72}" name="17" dataDxfId="8"/>
    <tableColumn id="18" xr3:uid="{5349A1DF-40E1-4A4B-AEE0-59ABBA1A3C0B}" name="18" dataDxfId="7"/>
    <tableColumn id="19" xr3:uid="{F1B65277-3EB4-4735-94E9-45240A1308B9}" name="19" dataDxfId="6"/>
    <tableColumn id="20" xr3:uid="{7223FDEF-46AB-4F33-9F2D-491A96F485A2}" name="20" dataDxfId="5"/>
    <tableColumn id="21" xr3:uid="{3C8CD6F3-7771-415E-AE23-52C91B5BDBBF}" name="21" dataDxfId="4"/>
    <tableColumn id="22" xr3:uid="{3908B3D0-1AB6-4DFD-A464-8D2434CD46ED}" name="22" dataDxfId="3"/>
    <tableColumn id="23" xr3:uid="{98AB4470-6639-404A-BA4A-9098AE2E505D}" name="23" dataDxfId="2"/>
    <tableColumn id="24" xr3:uid="{AFB7BBAC-7175-4F7E-9774-60302C1E3357}" name="24" dataDxfId="1"/>
    <tableColumn id="25" xr3:uid="{CFA213BC-09DB-4A2C-8754-D6C4210768F3}" name="25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B6A6FE6-8235-4CF4-B34C-6D2778F1DE94}" name="Table2" displayName="Table2" ref="A1:C4" totalsRowShown="0">
  <autoFilter ref="A1:C4" xr:uid="{8B6A6FE6-8235-4CF4-B34C-6D2778F1DE94}"/>
  <tableColumns count="3">
    <tableColumn id="1" xr3:uid="{5D5986C6-C6CB-4283-8DAC-EB80B0CBFD4E}" name="Type"/>
    <tableColumn id="2" xr3:uid="{7A0DF39C-D535-46CA-A53F-439479EDC228}" name="Count"/>
    <tableColumn id="4" xr3:uid="{894195D5-9761-41C8-B0EF-7B33B803E56E}" name="Sum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3AB913-F7AB-49AE-BFEF-DBFFED647DE7}" name="Table1_1" displayName="Table1_1" ref="A1:C4" tableType="queryTable" totalsRowShown="0">
  <autoFilter ref="A1:C4" xr:uid="{343AB913-F7AB-49AE-BFEF-DBFFED647DE7}"/>
  <tableColumns count="3">
    <tableColumn id="5" xr3:uid="{78C3A642-1740-40B3-BB72-F736BD17793A}" uniqueName="5" name="Type" queryTableFieldId="5"/>
    <tableColumn id="6" xr3:uid="{A5F941A2-1BFB-4FCA-B3B3-A612508ED101}" uniqueName="6" name="Count" queryTableFieldId="6"/>
    <tableColumn id="8" xr3:uid="{FCA0FFCE-0D0A-4841-88E4-9479C45A1C3C}" uniqueName="8" name="Sum5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8C6EE-0B3B-4B1C-B647-533D2DA03B77}">
  <sheetPr codeName="Sheet1"/>
  <dimension ref="A1:Y17"/>
  <sheetViews>
    <sheetView tabSelected="1" workbookViewId="0">
      <selection activeCell="B10" sqref="B10"/>
    </sheetView>
  </sheetViews>
  <sheetFormatPr defaultRowHeight="14.4" x14ac:dyDescent="0.3"/>
  <cols>
    <col min="1" max="1" width="14.109375" customWidth="1"/>
    <col min="3" max="3" width="11.88671875" bestFit="1" customWidth="1"/>
    <col min="6" max="6" width="9.5546875" customWidth="1"/>
    <col min="8" max="8" width="9.5546875" customWidth="1"/>
    <col min="9" max="9" width="18" customWidth="1"/>
    <col min="13" max="13" width="17.33203125" bestFit="1" customWidth="1"/>
    <col min="14" max="14" width="9.5546875" customWidth="1"/>
    <col min="15" max="15" width="22" customWidth="1"/>
    <col min="19" max="22" width="9.88671875" customWidth="1"/>
    <col min="23" max="24" width="10.5546875" customWidth="1"/>
    <col min="25" max="25" width="12.44140625" customWidth="1"/>
  </cols>
  <sheetData>
    <row r="1" spans="1:25" x14ac:dyDescent="0.3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73</v>
      </c>
      <c r="M1" t="s">
        <v>74</v>
      </c>
      <c r="N1" t="s">
        <v>75</v>
      </c>
      <c r="O1" t="s">
        <v>76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82</v>
      </c>
      <c r="V1" t="s">
        <v>83</v>
      </c>
      <c r="W1" t="s">
        <v>84</v>
      </c>
      <c r="X1" t="s">
        <v>85</v>
      </c>
      <c r="Y1" t="s">
        <v>86</v>
      </c>
    </row>
    <row r="2" spans="1:25" x14ac:dyDescent="0.3">
      <c r="A2" s="1" t="s">
        <v>0</v>
      </c>
      <c r="B2" s="2" t="s">
        <v>1</v>
      </c>
      <c r="C2" s="2" t="s">
        <v>2</v>
      </c>
      <c r="D2" s="2" t="b">
        <v>0</v>
      </c>
      <c r="E2" s="2">
        <v>1.35</v>
      </c>
      <c r="F2" s="2" t="b">
        <v>0</v>
      </c>
      <c r="G2" s="2" t="b">
        <v>1</v>
      </c>
      <c r="H2" s="2" t="b">
        <v>0</v>
      </c>
      <c r="I2" s="2" t="s">
        <v>3</v>
      </c>
      <c r="J2" s="2" t="b">
        <v>1</v>
      </c>
      <c r="K2" s="2" t="s">
        <v>4</v>
      </c>
      <c r="L2" s="2" t="s">
        <v>60</v>
      </c>
      <c r="M2" s="2" t="s">
        <v>5</v>
      </c>
      <c r="N2" s="2" t="b">
        <v>0</v>
      </c>
      <c r="O2" s="2" t="s">
        <v>6</v>
      </c>
      <c r="P2" s="2" t="b">
        <v>1</v>
      </c>
      <c r="Q2" s="2" t="b">
        <v>1</v>
      </c>
      <c r="R2" s="2" t="b">
        <v>1</v>
      </c>
      <c r="S2" s="2" t="b">
        <v>1</v>
      </c>
      <c r="T2" s="2" t="b">
        <v>1</v>
      </c>
      <c r="U2" s="2" t="b">
        <v>1</v>
      </c>
      <c r="V2" s="2" t="b">
        <v>1</v>
      </c>
      <c r="W2" s="2" t="b">
        <v>0</v>
      </c>
      <c r="X2" s="2" t="b">
        <v>0</v>
      </c>
      <c r="Y2" s="3" t="s">
        <v>7</v>
      </c>
    </row>
    <row r="3" spans="1:25" x14ac:dyDescent="0.3">
      <c r="A3" s="1" t="s">
        <v>8</v>
      </c>
      <c r="B3" s="2" t="s">
        <v>1</v>
      </c>
      <c r="C3" s="2" t="s">
        <v>9</v>
      </c>
      <c r="D3" s="2" t="b">
        <v>0</v>
      </c>
      <c r="E3" s="2">
        <v>1.35</v>
      </c>
      <c r="F3" s="2" t="b">
        <v>0</v>
      </c>
      <c r="G3" s="2" t="b">
        <v>1</v>
      </c>
      <c r="H3" s="2" t="b">
        <v>0</v>
      </c>
      <c r="I3" s="2" t="s">
        <v>10</v>
      </c>
      <c r="J3" s="2" t="b">
        <v>1</v>
      </c>
      <c r="K3" s="2" t="s">
        <v>4</v>
      </c>
      <c r="L3" s="2" t="b">
        <v>1</v>
      </c>
      <c r="M3" s="2" t="s">
        <v>5</v>
      </c>
      <c r="N3" s="2" t="b">
        <v>0</v>
      </c>
      <c r="O3" s="2" t="s">
        <v>6</v>
      </c>
      <c r="P3" s="2" t="b">
        <v>1</v>
      </c>
      <c r="Q3" s="2" t="b">
        <v>1</v>
      </c>
      <c r="R3" s="2" t="b">
        <v>1</v>
      </c>
      <c r="S3" s="2" t="b">
        <v>1</v>
      </c>
      <c r="T3" s="2" t="b">
        <v>1</v>
      </c>
      <c r="U3" s="2" t="b">
        <v>1</v>
      </c>
      <c r="V3" s="2" t="b">
        <v>1</v>
      </c>
      <c r="W3" s="2" t="b">
        <v>0</v>
      </c>
      <c r="X3" s="2" t="b">
        <v>0</v>
      </c>
      <c r="Y3" s="3" t="s">
        <v>11</v>
      </c>
    </row>
    <row r="4" spans="1:25" x14ac:dyDescent="0.3">
      <c r="A4" s="1" t="s">
        <v>12</v>
      </c>
      <c r="B4" s="2" t="s">
        <v>1</v>
      </c>
      <c r="C4" s="2" t="s">
        <v>13</v>
      </c>
      <c r="D4" s="2" t="b">
        <v>0</v>
      </c>
      <c r="E4" s="2">
        <v>2.7</v>
      </c>
      <c r="F4" s="2" t="b">
        <v>0</v>
      </c>
      <c r="G4" s="2" t="b">
        <v>1</v>
      </c>
      <c r="H4" s="2" t="b">
        <v>0</v>
      </c>
      <c r="I4" s="2" t="s">
        <v>14</v>
      </c>
      <c r="J4" s="2" t="b">
        <v>1</v>
      </c>
      <c r="K4" s="2" t="s">
        <v>4</v>
      </c>
      <c r="L4" s="2" t="b">
        <v>1</v>
      </c>
      <c r="M4" s="2" t="s">
        <v>5</v>
      </c>
      <c r="N4" s="2" t="b">
        <v>0</v>
      </c>
      <c r="O4" s="2" t="s">
        <v>6</v>
      </c>
      <c r="P4" s="2" t="b">
        <v>1</v>
      </c>
      <c r="Q4" s="2" t="b">
        <v>1</v>
      </c>
      <c r="R4" s="2" t="b">
        <v>1</v>
      </c>
      <c r="S4" s="2" t="b">
        <v>1</v>
      </c>
      <c r="T4" s="2" t="b">
        <v>1</v>
      </c>
      <c r="U4" s="2" t="b">
        <v>1</v>
      </c>
      <c r="V4" s="2" t="b">
        <v>1</v>
      </c>
      <c r="W4" s="2" t="b">
        <v>0</v>
      </c>
      <c r="X4" s="2" t="b">
        <v>0</v>
      </c>
      <c r="Y4" s="3" t="s">
        <v>15</v>
      </c>
    </row>
    <row r="5" spans="1:25" x14ac:dyDescent="0.3">
      <c r="A5" s="1" t="s">
        <v>16</v>
      </c>
      <c r="B5" s="2" t="s">
        <v>1</v>
      </c>
      <c r="C5" s="2" t="s">
        <v>17</v>
      </c>
      <c r="D5" s="2" t="b">
        <v>0</v>
      </c>
      <c r="E5" s="2">
        <v>1.35</v>
      </c>
      <c r="F5" s="2" t="b">
        <v>0</v>
      </c>
      <c r="G5" s="2" t="b">
        <v>1</v>
      </c>
      <c r="H5" s="2" t="b">
        <v>0</v>
      </c>
      <c r="I5" s="2" t="s">
        <v>18</v>
      </c>
      <c r="J5" s="2" t="b">
        <v>1</v>
      </c>
      <c r="K5" s="2" t="s">
        <v>4</v>
      </c>
      <c r="L5" s="2" t="b">
        <v>1</v>
      </c>
      <c r="M5" s="2" t="s">
        <v>5</v>
      </c>
      <c r="N5" s="2" t="b">
        <v>0</v>
      </c>
      <c r="O5" s="2" t="s">
        <v>6</v>
      </c>
      <c r="P5" s="2" t="b">
        <v>1</v>
      </c>
      <c r="Q5" s="2" t="b">
        <v>1</v>
      </c>
      <c r="R5" s="2" t="b">
        <v>1</v>
      </c>
      <c r="S5" s="2" t="b">
        <v>1</v>
      </c>
      <c r="T5" s="2" t="b">
        <v>1</v>
      </c>
      <c r="U5" s="2" t="b">
        <v>1</v>
      </c>
      <c r="V5" s="2" t="b">
        <v>1</v>
      </c>
      <c r="W5" s="2" t="b">
        <v>0</v>
      </c>
      <c r="X5" s="2" t="b">
        <v>0</v>
      </c>
      <c r="Y5" s="3" t="s">
        <v>19</v>
      </c>
    </row>
    <row r="6" spans="1:25" x14ac:dyDescent="0.3">
      <c r="A6" s="1" t="s">
        <v>20</v>
      </c>
      <c r="B6" s="2" t="s">
        <v>1</v>
      </c>
      <c r="C6" s="2" t="s">
        <v>17</v>
      </c>
      <c r="D6" s="2" t="b">
        <v>0</v>
      </c>
      <c r="E6" s="2">
        <v>1.35</v>
      </c>
      <c r="F6" s="2" t="b">
        <v>0</v>
      </c>
      <c r="G6" s="2" t="b">
        <v>1</v>
      </c>
      <c r="H6" s="2" t="b">
        <v>0</v>
      </c>
      <c r="I6" s="2" t="s">
        <v>21</v>
      </c>
      <c r="J6" s="2" t="b">
        <v>1</v>
      </c>
      <c r="K6" s="2" t="s">
        <v>4</v>
      </c>
      <c r="L6" s="2" t="b">
        <v>1</v>
      </c>
      <c r="M6" s="2" t="s">
        <v>5</v>
      </c>
      <c r="N6" s="2" t="b">
        <v>0</v>
      </c>
      <c r="O6" s="2" t="s">
        <v>6</v>
      </c>
      <c r="P6" s="2" t="b">
        <v>1</v>
      </c>
      <c r="Q6" s="2" t="b">
        <v>1</v>
      </c>
      <c r="R6" s="2" t="b">
        <v>1</v>
      </c>
      <c r="S6" s="2" t="b">
        <v>1</v>
      </c>
      <c r="T6" s="2" t="b">
        <v>1</v>
      </c>
      <c r="U6" s="2" t="b">
        <v>1</v>
      </c>
      <c r="V6" s="2" t="b">
        <v>1</v>
      </c>
      <c r="W6" s="2" t="b">
        <v>0</v>
      </c>
      <c r="X6" s="2" t="b">
        <v>0</v>
      </c>
      <c r="Y6" s="3" t="s">
        <v>22</v>
      </c>
    </row>
    <row r="7" spans="1:25" x14ac:dyDescent="0.3">
      <c r="A7" s="1" t="s">
        <v>23</v>
      </c>
      <c r="B7" s="2" t="s">
        <v>24</v>
      </c>
      <c r="C7" s="2" t="s">
        <v>25</v>
      </c>
      <c r="D7" s="2" t="b">
        <v>0</v>
      </c>
      <c r="E7" s="2">
        <v>1800</v>
      </c>
      <c r="F7" s="2" t="b">
        <v>0</v>
      </c>
      <c r="G7" s="2" t="b">
        <v>1</v>
      </c>
      <c r="H7" s="2" t="b">
        <v>0</v>
      </c>
      <c r="I7" s="2" t="s">
        <v>26</v>
      </c>
      <c r="J7" s="2" t="b">
        <v>0</v>
      </c>
      <c r="K7" s="2" t="s">
        <v>27</v>
      </c>
      <c r="L7" s="2" t="b">
        <v>0</v>
      </c>
      <c r="M7" s="2" t="s">
        <v>28</v>
      </c>
      <c r="N7" s="2" t="b">
        <v>0</v>
      </c>
      <c r="O7" s="2" t="s">
        <v>29</v>
      </c>
      <c r="P7" s="2" t="b">
        <v>1</v>
      </c>
      <c r="Q7" s="2" t="b">
        <v>1</v>
      </c>
      <c r="R7" s="2" t="b">
        <v>1</v>
      </c>
      <c r="S7" s="2" t="b">
        <v>1</v>
      </c>
      <c r="T7" s="2" t="b">
        <v>1</v>
      </c>
      <c r="U7" s="2" t="b">
        <v>1</v>
      </c>
      <c r="V7" s="2" t="b">
        <v>1</v>
      </c>
      <c r="W7" s="2" t="b">
        <v>0</v>
      </c>
      <c r="X7" s="2" t="b">
        <v>1</v>
      </c>
      <c r="Y7" s="3" t="s">
        <v>30</v>
      </c>
    </row>
    <row r="8" spans="1:25" x14ac:dyDescent="0.3">
      <c r="A8" s="1" t="s">
        <v>31</v>
      </c>
      <c r="B8" s="2" t="s">
        <v>1</v>
      </c>
      <c r="C8" s="2" t="s">
        <v>32</v>
      </c>
      <c r="D8" s="2" t="b">
        <v>0</v>
      </c>
      <c r="E8" s="2">
        <v>7</v>
      </c>
      <c r="F8" s="2" t="b">
        <v>0</v>
      </c>
      <c r="G8" s="2" t="b">
        <v>1</v>
      </c>
      <c r="H8" s="2" t="b">
        <v>0</v>
      </c>
      <c r="I8" s="2" t="s">
        <v>33</v>
      </c>
      <c r="J8" s="2" t="b">
        <v>1</v>
      </c>
      <c r="K8" s="2" t="s">
        <v>4</v>
      </c>
      <c r="L8" s="2" t="b">
        <v>1</v>
      </c>
      <c r="M8" s="2" t="s">
        <v>5</v>
      </c>
      <c r="N8" s="2" t="b">
        <v>0</v>
      </c>
      <c r="O8" s="2" t="s">
        <v>34</v>
      </c>
      <c r="P8" s="2" t="b">
        <v>1</v>
      </c>
      <c r="Q8" s="2" t="b">
        <v>1</v>
      </c>
      <c r="R8" s="2" t="b">
        <v>1</v>
      </c>
      <c r="S8" s="2" t="b">
        <v>1</v>
      </c>
      <c r="T8" s="2" t="b">
        <v>1</v>
      </c>
      <c r="U8" s="2" t="b">
        <v>1</v>
      </c>
      <c r="V8" s="2" t="b">
        <v>1</v>
      </c>
      <c r="W8" s="2" t="b">
        <v>0</v>
      </c>
      <c r="X8" s="2" t="b">
        <v>1</v>
      </c>
      <c r="Y8" s="3" t="s">
        <v>30</v>
      </c>
    </row>
    <row r="9" spans="1:25" x14ac:dyDescent="0.3">
      <c r="A9" s="1" t="s">
        <v>35</v>
      </c>
      <c r="B9" s="2" t="s">
        <v>24</v>
      </c>
      <c r="C9" s="2" t="s">
        <v>36</v>
      </c>
      <c r="D9" s="2" t="b">
        <v>0</v>
      </c>
      <c r="E9" s="2">
        <v>30</v>
      </c>
      <c r="F9" s="2" t="b">
        <v>0</v>
      </c>
      <c r="G9" s="2" t="b">
        <v>1</v>
      </c>
      <c r="H9" s="2" t="b">
        <v>0</v>
      </c>
      <c r="I9" s="2" t="s">
        <v>37</v>
      </c>
      <c r="J9" s="2" t="b">
        <v>1</v>
      </c>
      <c r="K9" s="2" t="s">
        <v>4</v>
      </c>
      <c r="L9" s="2" t="b">
        <v>1</v>
      </c>
      <c r="M9" s="2" t="s">
        <v>5</v>
      </c>
      <c r="N9" s="2" t="b">
        <v>0</v>
      </c>
      <c r="O9" s="2" t="s">
        <v>38</v>
      </c>
      <c r="P9" s="2" t="b">
        <v>1</v>
      </c>
      <c r="Q9" s="2" t="b">
        <v>1</v>
      </c>
      <c r="R9" s="2" t="b">
        <v>1</v>
      </c>
      <c r="S9" s="2" t="b">
        <v>1</v>
      </c>
      <c r="T9" s="2" t="b">
        <v>1</v>
      </c>
      <c r="U9" s="2" t="b">
        <v>1</v>
      </c>
      <c r="V9" s="2" t="b">
        <v>1</v>
      </c>
      <c r="W9" s="2" t="b">
        <v>0</v>
      </c>
      <c r="X9" s="2" t="b">
        <v>1</v>
      </c>
      <c r="Y9" s="3" t="s">
        <v>30</v>
      </c>
    </row>
    <row r="10" spans="1:25" x14ac:dyDescent="0.3">
      <c r="A10" s="1" t="s">
        <v>35</v>
      </c>
      <c r="B10" s="2" t="s">
        <v>24</v>
      </c>
      <c r="C10" s="2" t="s">
        <v>39</v>
      </c>
      <c r="D10" s="2" t="b">
        <v>0</v>
      </c>
      <c r="E10" s="2">
        <v>30</v>
      </c>
      <c r="F10" s="2" t="b">
        <v>0</v>
      </c>
      <c r="G10" s="2" t="b">
        <v>1</v>
      </c>
      <c r="H10" s="2" t="b">
        <v>0</v>
      </c>
      <c r="I10" s="2" t="s">
        <v>26</v>
      </c>
      <c r="J10" s="2" t="b">
        <v>1</v>
      </c>
      <c r="K10" s="2" t="s">
        <v>4</v>
      </c>
      <c r="L10" s="2" t="b">
        <v>1</v>
      </c>
      <c r="M10" s="2" t="s">
        <v>5</v>
      </c>
      <c r="N10" s="2" t="b">
        <v>0</v>
      </c>
      <c r="O10" s="2" t="s">
        <v>38</v>
      </c>
      <c r="P10" s="2" t="b">
        <v>1</v>
      </c>
      <c r="Q10" s="2" t="b">
        <v>1</v>
      </c>
      <c r="R10" s="2" t="b">
        <v>1</v>
      </c>
      <c r="S10" s="2" t="b">
        <v>1</v>
      </c>
      <c r="T10" s="2" t="b">
        <v>1</v>
      </c>
      <c r="U10" s="2" t="b">
        <v>1</v>
      </c>
      <c r="V10" s="2" t="b">
        <v>1</v>
      </c>
      <c r="W10" s="2" t="b">
        <v>0</v>
      </c>
      <c r="X10" s="2" t="b">
        <v>1</v>
      </c>
      <c r="Y10" s="3" t="s">
        <v>30</v>
      </c>
    </row>
    <row r="11" spans="1:25" x14ac:dyDescent="0.3">
      <c r="A11" s="1" t="s">
        <v>40</v>
      </c>
      <c r="B11" s="2" t="s">
        <v>1</v>
      </c>
      <c r="C11" s="2" t="s">
        <v>41</v>
      </c>
      <c r="D11" s="2" t="b">
        <v>0</v>
      </c>
      <c r="E11" s="2">
        <v>0.5</v>
      </c>
      <c r="F11" s="2" t="b">
        <v>0</v>
      </c>
      <c r="G11" s="2" t="b">
        <v>1</v>
      </c>
      <c r="H11" s="2" t="b">
        <v>0</v>
      </c>
      <c r="I11" s="2" t="s">
        <v>3</v>
      </c>
      <c r="J11" s="2" t="b">
        <v>1</v>
      </c>
      <c r="K11" s="2" t="s">
        <v>4</v>
      </c>
      <c r="L11" s="2" t="b">
        <v>1</v>
      </c>
      <c r="M11" s="2" t="s">
        <v>5</v>
      </c>
      <c r="N11" s="2" t="b">
        <v>0</v>
      </c>
      <c r="O11" s="2" t="s">
        <v>42</v>
      </c>
      <c r="P11" s="2" t="b">
        <v>1</v>
      </c>
      <c r="Q11" s="2" t="b">
        <v>1</v>
      </c>
      <c r="R11" s="2" t="b">
        <v>1</v>
      </c>
      <c r="S11" s="2" t="b">
        <v>1</v>
      </c>
      <c r="T11" s="2" t="b">
        <v>1</v>
      </c>
      <c r="U11" s="2" t="b">
        <v>1</v>
      </c>
      <c r="V11" s="2" t="b">
        <v>1</v>
      </c>
      <c r="W11" s="2" t="b">
        <v>0</v>
      </c>
      <c r="X11" s="2" t="b">
        <v>0</v>
      </c>
      <c r="Y11" s="3" t="s">
        <v>7</v>
      </c>
    </row>
    <row r="12" spans="1:25" x14ac:dyDescent="0.3">
      <c r="A12" s="1" t="s">
        <v>43</v>
      </c>
      <c r="B12" s="2" t="s">
        <v>1</v>
      </c>
      <c r="C12" s="2" t="s">
        <v>44</v>
      </c>
      <c r="D12" s="2" t="b">
        <v>0</v>
      </c>
      <c r="E12" s="2">
        <v>0.5</v>
      </c>
      <c r="F12" s="2" t="b">
        <v>0</v>
      </c>
      <c r="G12" s="2" t="b">
        <v>1</v>
      </c>
      <c r="H12" s="2" t="b">
        <v>0</v>
      </c>
      <c r="I12" s="2" t="s">
        <v>10</v>
      </c>
      <c r="J12" s="2" t="b">
        <v>1</v>
      </c>
      <c r="K12" s="2" t="s">
        <v>4</v>
      </c>
      <c r="L12" s="2" t="b">
        <v>1</v>
      </c>
      <c r="M12" s="2" t="s">
        <v>5</v>
      </c>
      <c r="N12" s="2" t="b">
        <v>0</v>
      </c>
      <c r="O12" s="2" t="s">
        <v>42</v>
      </c>
      <c r="P12" s="2" t="b">
        <v>1</v>
      </c>
      <c r="Q12" s="2" t="b">
        <v>1</v>
      </c>
      <c r="R12" s="2" t="b">
        <v>1</v>
      </c>
      <c r="S12" s="2" t="b">
        <v>1</v>
      </c>
      <c r="T12" s="2" t="b">
        <v>1</v>
      </c>
      <c r="U12" s="2" t="b">
        <v>1</v>
      </c>
      <c r="V12" s="2" t="b">
        <v>1</v>
      </c>
      <c r="W12" s="2" t="b">
        <v>0</v>
      </c>
      <c r="X12" s="2" t="b">
        <v>0</v>
      </c>
      <c r="Y12" s="3" t="s">
        <v>11</v>
      </c>
    </row>
    <row r="13" spans="1:25" x14ac:dyDescent="0.3">
      <c r="A13" s="1" t="s">
        <v>45</v>
      </c>
      <c r="B13" s="2" t="s">
        <v>1</v>
      </c>
      <c r="C13" s="2" t="s">
        <v>46</v>
      </c>
      <c r="D13" s="2" t="b">
        <v>0</v>
      </c>
      <c r="E13" s="2">
        <v>0.5</v>
      </c>
      <c r="F13" s="2" t="b">
        <v>0</v>
      </c>
      <c r="G13" s="2" t="b">
        <v>1</v>
      </c>
      <c r="H13" s="2" t="b">
        <v>0</v>
      </c>
      <c r="I13" s="2" t="s">
        <v>14</v>
      </c>
      <c r="J13" s="2" t="b">
        <v>1</v>
      </c>
      <c r="K13" s="2" t="s">
        <v>4</v>
      </c>
      <c r="L13" s="2" t="b">
        <v>1</v>
      </c>
      <c r="M13" s="2" t="s">
        <v>5</v>
      </c>
      <c r="N13" s="2" t="b">
        <v>0</v>
      </c>
      <c r="O13" s="2" t="s">
        <v>42</v>
      </c>
      <c r="P13" s="2" t="b">
        <v>1</v>
      </c>
      <c r="Q13" s="2" t="b">
        <v>1</v>
      </c>
      <c r="R13" s="2" t="b">
        <v>1</v>
      </c>
      <c r="S13" s="2" t="b">
        <v>1</v>
      </c>
      <c r="T13" s="2" t="b">
        <v>1</v>
      </c>
      <c r="U13" s="2" t="b">
        <v>1</v>
      </c>
      <c r="V13" s="2" t="b">
        <v>1</v>
      </c>
      <c r="W13" s="2" t="b">
        <v>0</v>
      </c>
      <c r="X13" s="2" t="b">
        <v>0</v>
      </c>
      <c r="Y13" s="3" t="s">
        <v>15</v>
      </c>
    </row>
    <row r="14" spans="1:25" x14ac:dyDescent="0.3">
      <c r="A14" s="1" t="s">
        <v>47</v>
      </c>
      <c r="B14" s="2" t="s">
        <v>1</v>
      </c>
      <c r="C14" s="2" t="s">
        <v>48</v>
      </c>
      <c r="D14" s="2" t="b">
        <v>0</v>
      </c>
      <c r="E14" s="2">
        <v>1</v>
      </c>
      <c r="F14" s="2" t="b">
        <v>0</v>
      </c>
      <c r="G14" s="2" t="b">
        <v>0</v>
      </c>
      <c r="H14" s="2" t="b">
        <v>0</v>
      </c>
      <c r="I14" s="2" t="s">
        <v>26</v>
      </c>
      <c r="J14" s="2" t="b">
        <v>0</v>
      </c>
      <c r="K14" s="2" t="s">
        <v>27</v>
      </c>
      <c r="L14" s="2" t="b">
        <v>0</v>
      </c>
      <c r="M14" s="2" t="s">
        <v>28</v>
      </c>
      <c r="N14" s="2" t="b">
        <v>0</v>
      </c>
      <c r="O14" s="2" t="s">
        <v>49</v>
      </c>
      <c r="P14" s="2" t="b">
        <v>1</v>
      </c>
      <c r="Q14" s="2" t="b">
        <v>1</v>
      </c>
      <c r="R14" s="2" t="b">
        <v>1</v>
      </c>
      <c r="S14" s="2" t="b">
        <v>1</v>
      </c>
      <c r="T14" s="2" t="b">
        <v>1</v>
      </c>
      <c r="U14" s="2" t="b">
        <v>1</v>
      </c>
      <c r="V14" s="2" t="b">
        <v>1</v>
      </c>
      <c r="W14" s="2" t="b">
        <v>0</v>
      </c>
      <c r="X14" s="2" t="b">
        <v>1</v>
      </c>
      <c r="Y14" s="3" t="s">
        <v>30</v>
      </c>
    </row>
    <row r="15" spans="1:25" x14ac:dyDescent="0.3">
      <c r="A15" s="1" t="s">
        <v>50</v>
      </c>
      <c r="B15" s="2" t="s">
        <v>1</v>
      </c>
      <c r="C15" s="2" t="s">
        <v>51</v>
      </c>
      <c r="D15" s="2" t="b">
        <v>0</v>
      </c>
      <c r="E15" s="2">
        <v>1</v>
      </c>
      <c r="F15" s="2" t="b">
        <v>0</v>
      </c>
      <c r="G15" s="2" t="b">
        <v>0</v>
      </c>
      <c r="H15" s="2" t="b">
        <v>0</v>
      </c>
      <c r="I15" s="2" t="s">
        <v>52</v>
      </c>
      <c r="J15" s="2" t="b">
        <v>0</v>
      </c>
      <c r="K15" s="2" t="s">
        <v>28</v>
      </c>
      <c r="L15" s="2" t="b">
        <v>0</v>
      </c>
      <c r="M15" s="2" t="s">
        <v>33</v>
      </c>
      <c r="N15" s="2" t="b">
        <v>0</v>
      </c>
      <c r="O15" s="2" t="s">
        <v>53</v>
      </c>
      <c r="P15" s="2" t="b">
        <v>1</v>
      </c>
      <c r="Q15" s="2" t="b">
        <v>1</v>
      </c>
      <c r="R15" s="2" t="b">
        <v>1</v>
      </c>
      <c r="S15" s="2" t="b">
        <v>1</v>
      </c>
      <c r="T15" s="2" t="b">
        <v>1</v>
      </c>
      <c r="U15" s="2" t="b">
        <v>1</v>
      </c>
      <c r="V15" s="2" t="b">
        <v>1</v>
      </c>
      <c r="W15" s="2" t="b">
        <v>0</v>
      </c>
      <c r="X15" s="2" t="b">
        <v>1</v>
      </c>
      <c r="Y15" s="3" t="s">
        <v>30</v>
      </c>
    </row>
    <row r="16" spans="1:25" x14ac:dyDescent="0.3">
      <c r="A16" s="1" t="s">
        <v>47</v>
      </c>
      <c r="B16" s="2" t="s">
        <v>1</v>
      </c>
      <c r="C16" s="2" t="s">
        <v>48</v>
      </c>
      <c r="D16" s="2" t="b">
        <v>0</v>
      </c>
      <c r="E16" s="2">
        <v>1</v>
      </c>
      <c r="F16" s="2" t="b">
        <v>0</v>
      </c>
      <c r="G16" s="2" t="b">
        <v>0</v>
      </c>
      <c r="H16" s="2" t="b">
        <v>0</v>
      </c>
      <c r="I16" s="2" t="s">
        <v>26</v>
      </c>
      <c r="J16" s="2" t="b">
        <v>0</v>
      </c>
      <c r="K16" s="2" t="s">
        <v>28</v>
      </c>
      <c r="L16" s="2" t="b">
        <v>1</v>
      </c>
      <c r="M16" s="2" t="s">
        <v>5</v>
      </c>
      <c r="N16" s="2" t="b">
        <v>0</v>
      </c>
      <c r="O16" s="2" t="s">
        <v>54</v>
      </c>
      <c r="P16" s="2" t="b">
        <v>1</v>
      </c>
      <c r="Q16" s="2" t="b">
        <v>1</v>
      </c>
      <c r="R16" s="2" t="b">
        <v>1</v>
      </c>
      <c r="S16" s="2" t="b">
        <v>1</v>
      </c>
      <c r="T16" s="2" t="b">
        <v>1</v>
      </c>
      <c r="U16" s="2" t="b">
        <v>1</v>
      </c>
      <c r="V16" s="2" t="b">
        <v>1</v>
      </c>
      <c r="W16" s="2" t="b">
        <v>0</v>
      </c>
      <c r="X16" s="2" t="b">
        <v>1</v>
      </c>
      <c r="Y16" s="3" t="s">
        <v>30</v>
      </c>
    </row>
    <row r="17" spans="1:25" x14ac:dyDescent="0.3">
      <c r="A17" s="1" t="s">
        <v>55</v>
      </c>
      <c r="B17" s="2" t="s">
        <v>56</v>
      </c>
      <c r="C17" s="2" t="s">
        <v>57</v>
      </c>
      <c r="D17" s="2" t="b">
        <v>1</v>
      </c>
      <c r="E17" s="2">
        <v>1</v>
      </c>
      <c r="F17" s="2" t="b">
        <v>1</v>
      </c>
      <c r="G17" s="2" t="b">
        <v>1</v>
      </c>
      <c r="H17" s="2" t="b">
        <v>1</v>
      </c>
      <c r="I17" s="2" t="s">
        <v>58</v>
      </c>
      <c r="J17" s="2" t="b">
        <v>1</v>
      </c>
      <c r="K17" s="2" t="s">
        <v>4</v>
      </c>
      <c r="L17" s="2" t="b">
        <v>1</v>
      </c>
      <c r="M17" s="2" t="s">
        <v>5</v>
      </c>
      <c r="N17" s="2" t="b">
        <v>1</v>
      </c>
      <c r="O17" s="2" t="s">
        <v>59</v>
      </c>
      <c r="P17" s="2" t="b">
        <v>0</v>
      </c>
      <c r="Q17" s="2" t="b">
        <v>1</v>
      </c>
      <c r="R17" s="2" t="b">
        <v>1</v>
      </c>
      <c r="S17" s="2" t="b">
        <v>1</v>
      </c>
      <c r="T17" s="2" t="b">
        <v>1</v>
      </c>
      <c r="U17" s="2" t="b">
        <v>1</v>
      </c>
      <c r="V17" s="2" t="b">
        <v>1</v>
      </c>
      <c r="W17" s="2" t="b">
        <v>1</v>
      </c>
      <c r="X17" s="2" t="b">
        <v>1</v>
      </c>
      <c r="Y17" s="3" t="s">
        <v>30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C2AC3-76E7-46F2-BBC9-4669B24C5084}">
  <sheetPr codeName="Sheet3"/>
  <dimension ref="A1:C4"/>
  <sheetViews>
    <sheetView workbookViewId="0">
      <selection activeCell="E19" sqref="E19"/>
    </sheetView>
  </sheetViews>
  <sheetFormatPr defaultRowHeight="14.4" x14ac:dyDescent="0.3"/>
  <cols>
    <col min="1" max="1" width="7.109375" bestFit="1" customWidth="1"/>
    <col min="2" max="2" width="8.109375" bestFit="1" customWidth="1"/>
    <col min="3" max="3" width="8" bestFit="1" customWidth="1"/>
  </cols>
  <sheetData>
    <row r="1" spans="1:3" x14ac:dyDescent="0.3">
      <c r="A1" t="s">
        <v>87</v>
      </c>
      <c r="B1" t="s">
        <v>61</v>
      </c>
      <c r="C1" t="s">
        <v>88</v>
      </c>
    </row>
    <row r="2" spans="1:3" x14ac:dyDescent="0.3">
      <c r="A2" t="s">
        <v>1</v>
      </c>
      <c r="B2">
        <v>12</v>
      </c>
      <c r="C2">
        <v>19.600000000000001</v>
      </c>
    </row>
    <row r="3" spans="1:3" x14ac:dyDescent="0.3">
      <c r="A3" t="s">
        <v>24</v>
      </c>
      <c r="B3">
        <v>3</v>
      </c>
      <c r="C3">
        <v>1860</v>
      </c>
    </row>
    <row r="4" spans="1:3" x14ac:dyDescent="0.3">
      <c r="A4" t="s">
        <v>56</v>
      </c>
      <c r="B4">
        <v>1</v>
      </c>
      <c r="C4">
        <v>1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9B3CD-41F6-46B3-8B44-5B68DB3DB484}">
  <sheetPr codeName="Sheet2">
    <tabColor theme="2" tint="-0.499984740745262"/>
  </sheetPr>
  <dimension ref="A1:C4"/>
  <sheetViews>
    <sheetView workbookViewId="0">
      <selection activeCell="I17" sqref="I17"/>
    </sheetView>
  </sheetViews>
  <sheetFormatPr defaultRowHeight="14.4" x14ac:dyDescent="0.3"/>
  <cols>
    <col min="1" max="1" width="7.109375" bestFit="1" customWidth="1"/>
    <col min="2" max="2" width="8.109375" bestFit="1" customWidth="1"/>
    <col min="3" max="3" width="8" bestFit="1" customWidth="1"/>
    <col min="4" max="4" width="7" bestFit="1" customWidth="1"/>
    <col min="5" max="5" width="6.44140625" bestFit="1" customWidth="1"/>
    <col min="6" max="6" width="5" bestFit="1" customWidth="1"/>
    <col min="7" max="7" width="7.109375" bestFit="1" customWidth="1"/>
    <col min="8" max="8" width="8.109375" bestFit="1" customWidth="1"/>
  </cols>
  <sheetData>
    <row r="1" spans="1:3" x14ac:dyDescent="0.3">
      <c r="A1" t="s">
        <v>87</v>
      </c>
      <c r="B1" t="s">
        <v>61</v>
      </c>
      <c r="C1" t="s">
        <v>88</v>
      </c>
    </row>
    <row r="2" spans="1:3" x14ac:dyDescent="0.3">
      <c r="A2" t="s">
        <v>1</v>
      </c>
      <c r="B2">
        <v>12</v>
      </c>
      <c r="C2">
        <v>19.600000000000001</v>
      </c>
    </row>
    <row r="3" spans="1:3" x14ac:dyDescent="0.3">
      <c r="A3" t="s">
        <v>24</v>
      </c>
      <c r="B3">
        <v>3</v>
      </c>
      <c r="C3">
        <v>1860</v>
      </c>
    </row>
    <row r="4" spans="1:3" x14ac:dyDescent="0.3">
      <c r="A4" t="s">
        <v>56</v>
      </c>
      <c r="B4">
        <v>1</v>
      </c>
      <c r="C4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69ECF-EE2B-4616-BF0E-1CDDB14883CB}">
  <sheetPr codeName="Sheet4">
    <tabColor theme="2" tint="-0.89999084444715716"/>
  </sheetPr>
  <dimension ref="A1:C4"/>
  <sheetViews>
    <sheetView workbookViewId="0">
      <selection activeCell="F25" sqref="F25"/>
    </sheetView>
  </sheetViews>
  <sheetFormatPr defaultRowHeight="14.4" x14ac:dyDescent="0.3"/>
  <cols>
    <col min="1" max="1" width="12.44140625" bestFit="1" customWidth="1"/>
    <col min="2" max="2" width="9.109375" bestFit="1" customWidth="1"/>
    <col min="3" max="3" width="8" bestFit="1" customWidth="1"/>
  </cols>
  <sheetData>
    <row r="1" spans="1:3" x14ac:dyDescent="0.3">
      <c r="A1" s="5" t="s">
        <v>89</v>
      </c>
      <c r="B1" t="s">
        <v>91</v>
      </c>
      <c r="C1" t="s">
        <v>90</v>
      </c>
    </row>
    <row r="2" spans="1:3" x14ac:dyDescent="0.3">
      <c r="A2" s="6" t="s">
        <v>24</v>
      </c>
      <c r="B2" s="4">
        <v>3</v>
      </c>
      <c r="C2" s="4">
        <v>1860</v>
      </c>
    </row>
    <row r="3" spans="1:3" x14ac:dyDescent="0.3">
      <c r="A3" s="6" t="s">
        <v>56</v>
      </c>
      <c r="B3" s="4">
        <v>1</v>
      </c>
      <c r="C3" s="4">
        <v>1</v>
      </c>
    </row>
    <row r="4" spans="1:3" x14ac:dyDescent="0.3">
      <c r="A4" s="6" t="s">
        <v>1</v>
      </c>
      <c r="B4" s="4">
        <v>12</v>
      </c>
      <c r="C4" s="4">
        <v>19.600000000000001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46C68FB-1DE4-48BA-AC66-83D95C49236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 in</vt:lpstr>
      <vt:lpstr>VBA</vt:lpstr>
      <vt:lpstr>PowerQuery</vt:lpstr>
      <vt:lpstr>PivotTable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 .</dc:creator>
  <cp:lastModifiedBy>John LaDuke</cp:lastModifiedBy>
  <dcterms:created xsi:type="dcterms:W3CDTF">2024-01-25T12:11:23Z</dcterms:created>
  <dcterms:modified xsi:type="dcterms:W3CDTF">2026-08-23T09:50:00Z</dcterms:modified>
</cp:coreProperties>
</file>